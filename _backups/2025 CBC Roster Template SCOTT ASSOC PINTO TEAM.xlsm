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1bd40ddaf16c001/Desktop/"/>
    </mc:Choice>
  </mc:AlternateContent>
  <xr:revisionPtr revIDLastSave="27" documentId="14_{6E8A29F3-AD49-4E7F-931E-0CD57F6F44E8}" xr6:coauthVersionLast="47" xr6:coauthVersionMax="47" xr10:uidLastSave="{720275B5-6029-4172-8A87-8F9ADC75BD81}"/>
  <bookViews>
    <workbookView xWindow="-120" yWindow="-120" windowWidth="38640" windowHeight="21120" tabRatio="702" activeTab="2" xr2:uid="{786066A5-9721-40C6-A0A0-83C53E9CB8FF}"/>
  </bookViews>
  <sheets>
    <sheet name="ReadMe" sheetId="12" r:id="rId1"/>
    <sheet name="Data Entry" sheetId="13" r:id="rId2"/>
    <sheet name="Official Team Roster" sheetId="11" r:id="rId3"/>
    <sheet name="Game Roster" sheetId="9" r:id="rId4"/>
  </sheets>
  <definedNames>
    <definedName name="_xlnm._FilterDatabase" localSheetId="2" hidden="1">'Data Entry'!$B$7:$P$22</definedName>
    <definedName name="Association">'Data Entry'!$B$3</definedName>
    <definedName name="BC">'Data Entry'!$O$7</definedName>
    <definedName name="BirthCert">'Data Entry'!$R$8</definedName>
    <definedName name="CONTROL">'Data Entry'!$N$7</definedName>
    <definedName name="_xlnm.Criteria">'Official Team Roster'!#REF!</definedName>
    <definedName name="Data_Entry">'Data Entry'!$B$8</definedName>
    <definedName name="_xlnm.Database">'Data Entry'!$B$7:$P$22</definedName>
    <definedName name="_xlnm.Extract">'Data Entry'!$A$29:$E$34</definedName>
    <definedName name="FA">'Data Entry'!$P$8</definedName>
    <definedName name="FAMacro">'Official Team Roster'!#REF!</definedName>
    <definedName name="FNAME">'Data Entry'!$C$8</definedName>
    <definedName name="FNAME_Input">'Data Entry'!$C$8</definedName>
    <definedName name="Free_Agents">'Official Team Roster'!#REF!</definedName>
    <definedName name="Instruct_Bottom">ReadMe!$A$33</definedName>
    <definedName name="Instruct_Middle">ReadMe!$A$27</definedName>
    <definedName name="Instruct_Top">ReadMe!$A$9</definedName>
    <definedName name="Instructions">ReadMe!$A$1</definedName>
    <definedName name="League">'Data Entry'!$B$4</definedName>
    <definedName name="Mgr_Coach">'Data Entry'!$A$39</definedName>
    <definedName name="Notes">'Official Team Roster'!#REF!</definedName>
    <definedName name="Player">'Data Entry'!$A$7</definedName>
    <definedName name="PrevAssoc">'Data Entry'!$F$29</definedName>
    <definedName name="_xlnm.Print_Area" localSheetId="3">'Game Roster'!$A$1:$M$56</definedName>
    <definedName name="_xlnm.Print_Area" localSheetId="2">'Official Team Roster'!$A$1:$M$56</definedName>
    <definedName name="RosterTemplateRev2003_01_Official_Team_Roster_List">'Data Entry'!$A$1:$T$23</definedName>
    <definedName name="Year">'Data Entry'!$B$5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1" l="1"/>
  <c r="B8" i="9" s="1"/>
  <c r="B36" i="11"/>
  <c r="E36" i="11"/>
  <c r="G36" i="11"/>
  <c r="G36" i="9" s="1"/>
  <c r="H36" i="11"/>
  <c r="I36" i="11"/>
  <c r="J36" i="11"/>
  <c r="J36" i="9" s="1"/>
  <c r="K36" i="11"/>
  <c r="K36" i="9" s="1"/>
  <c r="L36" i="11"/>
  <c r="L36" i="9" s="1"/>
  <c r="M36" i="11"/>
  <c r="B37" i="11"/>
  <c r="E37" i="11"/>
  <c r="N36" i="11"/>
  <c r="N34" i="11"/>
  <c r="N32" i="11"/>
  <c r="N30" i="11"/>
  <c r="N28" i="11"/>
  <c r="N26" i="11"/>
  <c r="N24" i="11"/>
  <c r="N22" i="11"/>
  <c r="N20" i="11"/>
  <c r="N18" i="11"/>
  <c r="N16" i="11"/>
  <c r="N14" i="11"/>
  <c r="N12" i="11"/>
  <c r="N10" i="11"/>
  <c r="N8" i="11"/>
  <c r="N7" i="11"/>
  <c r="T22" i="13"/>
  <c r="T21" i="13"/>
  <c r="T20" i="13"/>
  <c r="T19" i="13"/>
  <c r="I30" i="11" s="1"/>
  <c r="I30" i="9" s="1"/>
  <c r="T18" i="13"/>
  <c r="I28" i="11" s="1"/>
  <c r="I28" i="9" s="1"/>
  <c r="T17" i="13"/>
  <c r="I26" i="11" s="1"/>
  <c r="I26" i="9" s="1"/>
  <c r="T16" i="13"/>
  <c r="I24" i="11" s="1"/>
  <c r="I24" i="9" s="1"/>
  <c r="T15" i="13"/>
  <c r="I22" i="11" s="1"/>
  <c r="I22" i="9" s="1"/>
  <c r="T14" i="13"/>
  <c r="I20" i="11" s="1"/>
  <c r="I20" i="9" s="1"/>
  <c r="T13" i="13"/>
  <c r="I18" i="11" s="1"/>
  <c r="I18" i="9" s="1"/>
  <c r="T12" i="13"/>
  <c r="I16" i="11" s="1"/>
  <c r="I16" i="9" s="1"/>
  <c r="T11" i="13"/>
  <c r="I14" i="11" s="1"/>
  <c r="I14" i="9" s="1"/>
  <c r="T10" i="13"/>
  <c r="I12" i="11" s="1"/>
  <c r="I12" i="9" s="1"/>
  <c r="T9" i="13"/>
  <c r="I10" i="11" s="1"/>
  <c r="I10" i="9" s="1"/>
  <c r="T8" i="13"/>
  <c r="I8" i="11" s="1"/>
  <c r="I8" i="9" s="1"/>
  <c r="M8" i="9"/>
  <c r="M10" i="11"/>
  <c r="M10" i="9" s="1"/>
  <c r="M12" i="11"/>
  <c r="M12" i="9" s="1"/>
  <c r="M14" i="11"/>
  <c r="M14" i="9" s="1"/>
  <c r="M16" i="11"/>
  <c r="M16" i="9" s="1"/>
  <c r="M18" i="11"/>
  <c r="M18" i="9" s="1"/>
  <c r="M20" i="11"/>
  <c r="M20" i="9" s="1"/>
  <c r="M22" i="11"/>
  <c r="M22" i="9" s="1"/>
  <c r="M24" i="11"/>
  <c r="M24" i="9" s="1"/>
  <c r="M26" i="11"/>
  <c r="M26" i="9" s="1"/>
  <c r="M28" i="11"/>
  <c r="M28" i="9" s="1"/>
  <c r="M30" i="11"/>
  <c r="M30" i="9" s="1"/>
  <c r="M32" i="11"/>
  <c r="M32" i="9" s="1"/>
  <c r="M34" i="11"/>
  <c r="M34" i="9" s="1"/>
  <c r="M36" i="9"/>
  <c r="M8" i="11"/>
  <c r="L5" i="11"/>
  <c r="L5" i="9" s="1"/>
  <c r="C5" i="11"/>
  <c r="C5" i="9" s="1"/>
  <c r="H5" i="11"/>
  <c r="H5" i="9" s="1"/>
  <c r="G8" i="11"/>
  <c r="G8" i="9" s="1"/>
  <c r="D41" i="11"/>
  <c r="D41" i="9" s="1"/>
  <c r="L41" i="11"/>
  <c r="L41" i="9" s="1"/>
  <c r="J41" i="11"/>
  <c r="J41" i="9" s="1"/>
  <c r="B41" i="11"/>
  <c r="B41" i="9" s="1"/>
  <c r="I34" i="11"/>
  <c r="I34" i="9" s="1"/>
  <c r="I32" i="11"/>
  <c r="I32" i="9" s="1"/>
  <c r="B37" i="9"/>
  <c r="B36" i="9"/>
  <c r="B35" i="11"/>
  <c r="B35" i="9" s="1"/>
  <c r="J34" i="11"/>
  <c r="J34" i="9" s="1"/>
  <c r="B34" i="11"/>
  <c r="B34" i="9" s="1"/>
  <c r="B33" i="11"/>
  <c r="B33" i="9" s="1"/>
  <c r="J32" i="11"/>
  <c r="J32" i="9" s="1"/>
  <c r="B32" i="11"/>
  <c r="B32" i="9" s="1"/>
  <c r="B31" i="11"/>
  <c r="B31" i="9" s="1"/>
  <c r="J30" i="11"/>
  <c r="J30" i="9" s="1"/>
  <c r="B30" i="11"/>
  <c r="B30" i="9" s="1"/>
  <c r="B29" i="11"/>
  <c r="B29" i="9" s="1"/>
  <c r="J28" i="11"/>
  <c r="J28" i="9" s="1"/>
  <c r="B28" i="11"/>
  <c r="B28" i="9" s="1"/>
  <c r="B27" i="11"/>
  <c r="B27" i="9" s="1"/>
  <c r="J26" i="11"/>
  <c r="J26" i="9" s="1"/>
  <c r="B26" i="11"/>
  <c r="B26" i="9" s="1"/>
  <c r="J8" i="11"/>
  <c r="J8" i="9" s="1"/>
  <c r="B9" i="11"/>
  <c r="B9" i="9" s="1"/>
  <c r="B10" i="11"/>
  <c r="B10" i="9" s="1"/>
  <c r="J10" i="11"/>
  <c r="J10" i="9" s="1"/>
  <c r="B11" i="11"/>
  <c r="B11" i="9" s="1"/>
  <c r="B25" i="11"/>
  <c r="B25" i="9" s="1"/>
  <c r="J24" i="11"/>
  <c r="J24" i="9" s="1"/>
  <c r="B24" i="11"/>
  <c r="B24" i="9" s="1"/>
  <c r="B23" i="11"/>
  <c r="B23" i="9" s="1"/>
  <c r="J22" i="11"/>
  <c r="J22" i="9" s="1"/>
  <c r="B22" i="11"/>
  <c r="B22" i="9" s="1"/>
  <c r="B21" i="11"/>
  <c r="B21" i="9" s="1"/>
  <c r="J20" i="11"/>
  <c r="J20" i="9" s="1"/>
  <c r="B20" i="11"/>
  <c r="B20" i="9" s="1"/>
  <c r="B19" i="11"/>
  <c r="B19" i="9" s="1"/>
  <c r="J18" i="11"/>
  <c r="J18" i="9" s="1"/>
  <c r="B18" i="11"/>
  <c r="B18" i="9" s="1"/>
  <c r="B17" i="11"/>
  <c r="B17" i="9" s="1"/>
  <c r="J16" i="11"/>
  <c r="J16" i="9" s="1"/>
  <c r="B16" i="11"/>
  <c r="B16" i="9" s="1"/>
  <c r="B15" i="11"/>
  <c r="B15" i="9" s="1"/>
  <c r="J14" i="11"/>
  <c r="J14" i="9" s="1"/>
  <c r="B14" i="11"/>
  <c r="B14" i="9" s="1"/>
  <c r="B13" i="11"/>
  <c r="B13" i="9" s="1"/>
  <c r="J12" i="11"/>
  <c r="J12" i="9" s="1"/>
  <c r="B12" i="11"/>
  <c r="B12" i="9" s="1"/>
  <c r="K8" i="11"/>
  <c r="K8" i="9" s="1"/>
  <c r="K10" i="11"/>
  <c r="K10" i="9" s="1"/>
  <c r="K12" i="11"/>
  <c r="K12" i="9" s="1"/>
  <c r="K14" i="11"/>
  <c r="K14" i="9" s="1"/>
  <c r="K16" i="11"/>
  <c r="K16" i="9" s="1"/>
  <c r="K18" i="11"/>
  <c r="K18" i="9" s="1"/>
  <c r="K20" i="11"/>
  <c r="K20" i="9" s="1"/>
  <c r="K22" i="11"/>
  <c r="K22" i="9" s="1"/>
  <c r="K24" i="11"/>
  <c r="K24" i="9" s="1"/>
  <c r="K26" i="11"/>
  <c r="K26" i="9" s="1"/>
  <c r="K28" i="11"/>
  <c r="K28" i="9" s="1"/>
  <c r="K30" i="11"/>
  <c r="K30" i="9" s="1"/>
  <c r="K32" i="11"/>
  <c r="K32" i="9" s="1"/>
  <c r="K34" i="11"/>
  <c r="K34" i="9" s="1"/>
  <c r="G28" i="11"/>
  <c r="G28" i="9" s="1"/>
  <c r="G26" i="11"/>
  <c r="G26" i="9" s="1"/>
  <c r="G24" i="11"/>
  <c r="G24" i="9" s="1"/>
  <c r="G22" i="11"/>
  <c r="G22" i="9" s="1"/>
  <c r="G20" i="11"/>
  <c r="G20" i="9" s="1"/>
  <c r="G18" i="11"/>
  <c r="G18" i="9" s="1"/>
  <c r="G16" i="11"/>
  <c r="G16" i="9" s="1"/>
  <c r="G14" i="11"/>
  <c r="G14" i="9" s="1"/>
  <c r="G12" i="11"/>
  <c r="G12" i="9" s="1"/>
  <c r="G10" i="11"/>
  <c r="G10" i="9" s="1"/>
  <c r="G30" i="11"/>
  <c r="G30" i="9" s="1"/>
  <c r="G32" i="11"/>
  <c r="G32" i="9" s="1"/>
  <c r="G34" i="11"/>
  <c r="G34" i="9" s="1"/>
  <c r="L8" i="11"/>
  <c r="L8" i="9" s="1"/>
  <c r="L12" i="11"/>
  <c r="L12" i="9" s="1"/>
  <c r="L10" i="11"/>
  <c r="L10" i="9" s="1"/>
  <c r="L34" i="11"/>
  <c r="L34" i="9" s="1"/>
  <c r="L16" i="11"/>
  <c r="L16" i="9" s="1"/>
  <c r="L14" i="11"/>
  <c r="L14" i="9" s="1"/>
  <c r="L32" i="11"/>
  <c r="L32" i="9" s="1"/>
  <c r="L30" i="11"/>
  <c r="L30" i="9" s="1"/>
  <c r="L28" i="11"/>
  <c r="L28" i="9" s="1"/>
  <c r="L26" i="11"/>
  <c r="L26" i="9" s="1"/>
  <c r="L24" i="11"/>
  <c r="L24" i="9" s="1"/>
  <c r="L22" i="11"/>
  <c r="L22" i="9" s="1"/>
  <c r="L20" i="11"/>
  <c r="L20" i="9" s="1"/>
  <c r="L18" i="11"/>
  <c r="L18" i="9" s="1"/>
  <c r="B51" i="11"/>
  <c r="B51" i="9" s="1"/>
  <c r="D51" i="11"/>
  <c r="D51" i="9" s="1"/>
  <c r="D55" i="11"/>
  <c r="D55" i="9" s="1"/>
  <c r="B55" i="11"/>
  <c r="B55" i="9" s="1"/>
  <c r="D54" i="11"/>
  <c r="D54" i="9" s="1"/>
  <c r="B54" i="11"/>
  <c r="B54" i="9" s="1"/>
  <c r="D53" i="11"/>
  <c r="D53" i="9" s="1"/>
  <c r="B53" i="11"/>
  <c r="B53" i="9" s="1"/>
  <c r="D52" i="11"/>
  <c r="D52" i="9" s="1"/>
  <c r="B52" i="11"/>
  <c r="B52" i="9" s="1"/>
  <c r="I53" i="11"/>
  <c r="I53" i="9" s="1"/>
  <c r="I54" i="11"/>
  <c r="I54" i="9" s="1"/>
  <c r="I55" i="11"/>
  <c r="I55" i="9" s="1"/>
  <c r="I52" i="11"/>
  <c r="I52" i="9" s="1"/>
  <c r="I51" i="11"/>
  <c r="I51" i="9" s="1"/>
  <c r="H41" i="11"/>
  <c r="H41" i="9" s="1"/>
  <c r="H39" i="11"/>
  <c r="H39" i="9" s="1"/>
  <c r="H43" i="11"/>
  <c r="H43" i="9" s="1"/>
  <c r="H45" i="11"/>
  <c r="H45" i="9" s="1"/>
  <c r="H47" i="11"/>
  <c r="H47" i="9" s="1"/>
  <c r="B39" i="11"/>
  <c r="B39" i="9" s="1"/>
  <c r="D39" i="11"/>
  <c r="D39" i="9" s="1"/>
  <c r="J39" i="11"/>
  <c r="J39" i="9" s="1"/>
  <c r="L39" i="11"/>
  <c r="L39" i="9" s="1"/>
  <c r="B43" i="11"/>
  <c r="B43" i="9" s="1"/>
  <c r="D43" i="11"/>
  <c r="D43" i="9" s="1"/>
  <c r="J43" i="11"/>
  <c r="J43" i="9" s="1"/>
  <c r="L43" i="11"/>
  <c r="L43" i="9" s="1"/>
  <c r="B45" i="11"/>
  <c r="B45" i="9" s="1"/>
  <c r="D45" i="11"/>
  <c r="D45" i="9" s="1"/>
  <c r="J45" i="11"/>
  <c r="J45" i="9" s="1"/>
  <c r="L45" i="11"/>
  <c r="L45" i="9" s="1"/>
  <c r="B47" i="11"/>
  <c r="B47" i="9" s="1"/>
  <c r="D47" i="11"/>
  <c r="D47" i="9" s="1"/>
  <c r="J47" i="11"/>
  <c r="J47" i="9" s="1"/>
  <c r="L47" i="11"/>
  <c r="L47" i="9" s="1"/>
  <c r="E52" i="11"/>
  <c r="E53" i="11"/>
  <c r="E54" i="11"/>
  <c r="E55" i="11"/>
  <c r="E51" i="11"/>
  <c r="H34" i="11"/>
  <c r="E35" i="11"/>
  <c r="E34" i="11"/>
  <c r="E33" i="11"/>
  <c r="H32" i="11"/>
  <c r="E32" i="11"/>
  <c r="H8" i="11"/>
  <c r="E8" i="11"/>
  <c r="E9" i="11"/>
  <c r="E10" i="11"/>
  <c r="E12" i="11"/>
  <c r="E14" i="11"/>
  <c r="E16" i="11"/>
  <c r="E18" i="11"/>
  <c r="E20" i="11"/>
  <c r="E22" i="11"/>
  <c r="E24" i="11"/>
  <c r="E26" i="11"/>
  <c r="E28" i="11"/>
  <c r="E30" i="11"/>
  <c r="E11" i="11"/>
  <c r="E13" i="11"/>
  <c r="E15" i="11"/>
  <c r="E17" i="11"/>
  <c r="E19" i="11"/>
  <c r="E21" i="11"/>
  <c r="E23" i="11"/>
  <c r="E25" i="11"/>
  <c r="E27" i="11"/>
  <c r="E29" i="11"/>
  <c r="E31" i="11"/>
  <c r="H10" i="11"/>
  <c r="H12" i="11"/>
  <c r="H14" i="11"/>
  <c r="H16" i="11"/>
  <c r="H18" i="11"/>
  <c r="H20" i="11"/>
  <c r="H22" i="11"/>
  <c r="H24" i="11"/>
  <c r="H26" i="11"/>
  <c r="H28" i="11"/>
  <c r="H30" i="11"/>
  <c r="E12" i="12"/>
  <c r="E13" i="12"/>
  <c r="I36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RWood</author>
    <author>Tim Hayes</author>
  </authors>
  <commentList>
    <comment ref="K18" authorId="0" shapeId="0" xr:uid="{1E33932B-9FE5-4959-A96B-9B557291EA68}">
      <text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Insert their Unif # here and it will fill in on Roster form to left.</t>
        </r>
      </text>
    </comment>
    <comment ref="E19" authorId="1" shapeId="0" xr:uid="{75DC767F-210B-443F-B038-7F62165A311C}">
      <text>
        <r>
          <rPr>
            <b/>
            <sz val="9"/>
            <color indexed="81"/>
            <rFont val="Tahoma"/>
            <family val="2"/>
          </rPr>
          <t>Tim Hayes:</t>
        </r>
        <r>
          <rPr>
            <sz val="9"/>
            <color indexed="81"/>
            <rFont val="Tahoma"/>
            <family val="2"/>
          </rPr>
          <t xml:space="preserve">
This is for your Info:
Enter status on BC's.
Ex: "Need"; 
      "Rcvd"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 Hayes</author>
    <author>RWood</author>
  </authors>
  <commentList>
    <comment ref="R7" authorId="0" shapeId="0" xr:uid="{2B9E48BA-3C3D-49FB-A55F-6BA778772991}">
      <text>
        <r>
          <rPr>
            <b/>
            <sz val="9"/>
            <color indexed="81"/>
            <rFont val="Tahoma"/>
            <family val="2"/>
          </rPr>
          <t>Tim Hayes:</t>
        </r>
        <r>
          <rPr>
            <sz val="9"/>
            <color indexed="81"/>
            <rFont val="Tahoma"/>
            <family val="2"/>
          </rPr>
          <t xml:space="preserve">
This is for your Info:
Enter status on BC's.
Ex: "Need"; 
      "Rcvd"
</t>
        </r>
      </text>
    </comment>
    <comment ref="B8" authorId="1" shapeId="0" xr:uid="{66F14887-EEAD-4D36-8964-6AB63324DDFC}">
      <text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Insert their Unif # here and it will fill in on Roster form to left.</t>
        </r>
      </text>
    </comment>
    <comment ref="A39" authorId="1" shapeId="0" xr:uid="{E73979F6-91BA-459F-ADEC-7EEFF0C51830}">
      <text>
        <r>
          <rPr>
            <b/>
            <sz val="8"/>
            <color indexed="81"/>
            <rFont val="Tahoma"/>
            <family val="2"/>
          </rPr>
          <t>RWood:</t>
        </r>
        <r>
          <rPr>
            <sz val="8"/>
            <color indexed="81"/>
            <rFont val="Tahoma"/>
            <family val="2"/>
          </rPr>
          <t xml:space="preserve">
Insert their Unif # here and it will fill in on Roster form to left.</t>
        </r>
      </text>
    </comment>
  </commentList>
</comments>
</file>

<file path=xl/sharedStrings.xml><?xml version="1.0" encoding="utf-8"?>
<sst xmlns="http://schemas.openxmlformats.org/spreadsheetml/2006/main" count="385" uniqueCount="208">
  <si>
    <t>CHESTERFIELD BASEBALL CLUBS, INC.</t>
  </si>
  <si>
    <t>OFFICIAL TEAM ROSTER</t>
  </si>
  <si>
    <t>League:</t>
  </si>
  <si>
    <t>Year:</t>
  </si>
  <si>
    <t>Player</t>
  </si>
  <si>
    <t>Address</t>
  </si>
  <si>
    <t>Age</t>
  </si>
  <si>
    <t>DOB</t>
  </si>
  <si>
    <t>BC</t>
  </si>
  <si>
    <t>FA</t>
  </si>
  <si>
    <t>Manager</t>
  </si>
  <si>
    <t>Coach</t>
  </si>
  <si>
    <t>Asst. Coach</t>
  </si>
  <si>
    <t/>
  </si>
  <si>
    <t>Player's Name</t>
  </si>
  <si>
    <t>Elementary Boundary</t>
  </si>
  <si>
    <t>Previous Association</t>
  </si>
  <si>
    <t>NO BAT PERSONS ALLOWED</t>
  </si>
  <si>
    <t>APPROVED BY:</t>
  </si>
  <si>
    <t>DATE:</t>
  </si>
  <si>
    <t>City</t>
  </si>
  <si>
    <t>Zip</t>
  </si>
  <si>
    <t>X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</si>
  <si>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</si>
  <si>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</si>
  <si>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</si>
  <si>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</si>
  <si>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</si>
  <si>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</si>
  <si>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</si>
  <si>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</si>
  <si>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</si>
  <si>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</si>
  <si>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</si>
  <si>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</si>
  <si>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</si>
  <si>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INDICATE FREE AGENTS WITH AN "X" IN THE APPROPRIATE COLUMN AND LIST BELOW.</t>
  </si>
  <si>
    <t xml:space="preserve">INDICATE AN "X" IN THE APPROPRIATE COLUMN ON THE RIGHT BESIDE NAMES WHERE BIRTH CERTIFICATE IS NEEDED OR BIRTH DATE IS TO BE REVISED. </t>
  </si>
  <si>
    <t>Association:</t>
  </si>
  <si>
    <t>14.</t>
  </si>
  <si>
    <t>Uniform#</t>
  </si>
  <si>
    <t>Tele.</t>
  </si>
  <si>
    <t>Coach ID</t>
  </si>
  <si>
    <t>recvd</t>
  </si>
  <si>
    <t>Data Entry:</t>
  </si>
  <si>
    <t>First</t>
  </si>
  <si>
    <t>Last</t>
  </si>
  <si>
    <t>St</t>
  </si>
  <si>
    <t>Caution:</t>
  </si>
  <si>
    <t>Note: print setup has already been correctly set for both forms - try the Print Preview and you should see 1 page for each.</t>
  </si>
  <si>
    <t>PHONE</t>
  </si>
  <si>
    <t>FNAME</t>
  </si>
  <si>
    <t>MI</t>
  </si>
  <si>
    <t>LNAME</t>
  </si>
  <si>
    <t>ADDRESS</t>
  </si>
  <si>
    <t>CITY</t>
  </si>
  <si>
    <t>ST</t>
  </si>
  <si>
    <t>ZIP</t>
  </si>
  <si>
    <t>AGE</t>
  </si>
  <si>
    <t>Season_Date</t>
  </si>
  <si>
    <t>ASSOC</t>
  </si>
  <si>
    <t>15.</t>
  </si>
  <si>
    <t>Unif #</t>
  </si>
  <si>
    <t>A-Coach</t>
  </si>
  <si>
    <t>Managers and Coaches -    Enter data in columns below and it will populate the respective fields on the roster form to the left.</t>
  </si>
  <si>
    <t>Nick</t>
  </si>
  <si>
    <t>Association</t>
  </si>
  <si>
    <t>Data Entry</t>
  </si>
  <si>
    <t>Back to Instructions</t>
  </si>
  <si>
    <t>Free Agents</t>
  </si>
  <si>
    <t>Year</t>
  </si>
  <si>
    <t>Unif_#</t>
  </si>
  <si>
    <t>Continue entering all data for players for that respective team.</t>
  </si>
  <si>
    <t>Manager and Coaches</t>
  </si>
  <si>
    <t>Association=</t>
  </si>
  <si>
    <t>League=</t>
  </si>
  <si>
    <t>Year=</t>
  </si>
  <si>
    <t>(For PRINTING ONLY.  This is linked to the Official Team Roster)</t>
  </si>
  <si>
    <r>
      <t>This page is named "</t>
    </r>
    <r>
      <rPr>
        <b/>
        <sz val="9"/>
        <rFont val="Arial"/>
        <family val="2"/>
      </rPr>
      <t>ReadMeFirst</t>
    </r>
    <r>
      <rPr>
        <sz val="9"/>
        <rFont val="Arial"/>
        <family val="2"/>
      </rPr>
      <t>"</t>
    </r>
  </si>
  <si>
    <r>
      <t xml:space="preserve">     The last tab is named "</t>
    </r>
    <r>
      <rPr>
        <b/>
        <sz val="9"/>
        <rFont val="Arial"/>
        <family val="2"/>
      </rPr>
      <t>Game Roster</t>
    </r>
    <r>
      <rPr>
        <sz val="9"/>
        <rFont val="Arial"/>
        <family val="2"/>
      </rPr>
      <t>"</t>
    </r>
  </si>
  <si>
    <t>League</t>
  </si>
  <si>
    <t xml:space="preserve">Ignore the </t>
  </si>
  <si>
    <t>and</t>
  </si>
  <si>
    <r>
      <t xml:space="preserve">Then, scroll or tab over to right and enter </t>
    </r>
    <r>
      <rPr>
        <sz val="10"/>
        <rFont val="Arial"/>
        <family val="2"/>
      </rPr>
      <t/>
    </r>
  </si>
  <si>
    <t>if applicable for that player.</t>
  </si>
  <si>
    <t>See Notes</t>
  </si>
  <si>
    <t>through</t>
  </si>
  <si>
    <t>The Data Entry area fields,</t>
  </si>
  <si>
    <t xml:space="preserve">field.  </t>
  </si>
  <si>
    <t>This is simply to cross reference and verify the Official Team Roster Player number and info.</t>
  </si>
  <si>
    <t>Whatever you enter across the row for Player 1, Player 2, etc., will auto fill in the</t>
  </si>
  <si>
    <r>
      <t>Exception:</t>
    </r>
    <r>
      <rPr>
        <sz val="10"/>
        <rFont val="Arial"/>
        <family val="2"/>
      </rPr>
      <t/>
    </r>
  </si>
  <si>
    <t>so it will fill in the roster form correctly.</t>
  </si>
  <si>
    <t>Official Team Roster form (on left side of worksheet) for Player 1, Player 2, etc.</t>
  </si>
  <si>
    <t>Next follow instructions to list the information for that particular team's</t>
  </si>
  <si>
    <t>Top of Data Entry form.</t>
  </si>
  <si>
    <t>Middle of Data Entry form</t>
  </si>
  <si>
    <t>After you have entered or pasted this information, you should complete the other fields,  beginning with</t>
  </si>
  <si>
    <t>Bottom of Data Entry form</t>
  </si>
  <si>
    <t xml:space="preserve">Since many of the cells contain formulas and links to other cells on the different forms, be careful </t>
  </si>
  <si>
    <t>not to delete them.</t>
  </si>
  <si>
    <r>
      <t>You</t>
    </r>
    <r>
      <rPr>
        <b/>
        <sz val="9"/>
        <rFont val="Arial"/>
        <family val="2"/>
      </rPr>
      <t xml:space="preserve"> must type</t>
    </r>
    <r>
      <rPr>
        <sz val="9"/>
        <rFont val="Arial"/>
        <family val="2"/>
      </rPr>
      <t xml:space="preserve"> in their information for </t>
    </r>
  </si>
  <si>
    <r>
      <t xml:space="preserve">Next you </t>
    </r>
    <r>
      <rPr>
        <b/>
        <sz val="9"/>
        <rFont val="Arial"/>
        <family val="2"/>
      </rPr>
      <t>must</t>
    </r>
    <r>
      <rPr>
        <sz val="9"/>
        <rFont val="Arial"/>
        <family val="2"/>
      </rPr>
      <t xml:space="preserve"> </t>
    </r>
    <r>
      <rPr>
        <b/>
        <sz val="9"/>
        <rFont val="Arial"/>
        <family val="2"/>
      </rPr>
      <t>manually enter</t>
    </r>
    <r>
      <rPr>
        <sz val="9"/>
        <rFont val="Arial"/>
        <family val="2"/>
      </rPr>
      <t xml:space="preserve"> the data for the </t>
    </r>
  </si>
  <si>
    <r>
      <t xml:space="preserve">the </t>
    </r>
    <r>
      <rPr>
        <b/>
        <sz val="9"/>
        <rFont val="Arial"/>
        <family val="2"/>
      </rPr>
      <t>Game Roster</t>
    </r>
    <r>
      <rPr>
        <sz val="9"/>
        <rFont val="Arial"/>
        <family val="2"/>
      </rPr>
      <t xml:space="preserve"> form on the next tab.</t>
    </r>
  </si>
  <si>
    <r>
      <t xml:space="preserve">The </t>
    </r>
    <r>
      <rPr>
        <b/>
        <sz val="9"/>
        <rFont val="Arial"/>
        <family val="2"/>
      </rPr>
      <t>Official Team Roster</t>
    </r>
    <r>
      <rPr>
        <sz val="9"/>
        <rFont val="Arial"/>
        <family val="2"/>
      </rPr>
      <t xml:space="preserve"> form meets or exceeds CBC guidelines for team rosters that have to be turned in.  </t>
    </r>
  </si>
  <si>
    <r>
      <t xml:space="preserve">The </t>
    </r>
    <r>
      <rPr>
        <b/>
        <sz val="9"/>
        <rFont val="Arial"/>
        <family val="2"/>
      </rPr>
      <t>Game Roster</t>
    </r>
    <r>
      <rPr>
        <sz val="9"/>
        <rFont val="Arial"/>
        <family val="2"/>
      </rPr>
      <t xml:space="preserve"> is to be printed off and meets guidelines for the roster to be given to opposing coach at games.</t>
    </r>
  </si>
  <si>
    <t>Sample data has been entered in the five rows for illustration purposes.  Just type over, or delete, or clear.</t>
  </si>
  <si>
    <r>
      <t xml:space="preserve">As you enter the data, the appropriate fields will be auto filled on both the </t>
    </r>
    <r>
      <rPr>
        <b/>
        <sz val="9"/>
        <rFont val="Arial"/>
        <family val="2"/>
      </rPr>
      <t>Official Team Roster</t>
    </r>
    <r>
      <rPr>
        <sz val="9"/>
        <rFont val="Arial"/>
        <family val="2"/>
      </rPr>
      <t xml:space="preserve"> form, AND</t>
    </r>
  </si>
  <si>
    <r>
      <t xml:space="preserve">Enter </t>
    </r>
    <r>
      <rPr>
        <b/>
        <sz val="9"/>
        <color indexed="17"/>
        <rFont val="Arial"/>
        <family val="2"/>
      </rPr>
      <t>ONLY</t>
    </r>
    <r>
      <rPr>
        <sz val="9"/>
        <color indexed="17"/>
        <rFont val="Arial"/>
        <family val="2"/>
      </rPr>
      <t xml:space="preserve"> in Data Fields </t>
    </r>
    <r>
      <rPr>
        <b/>
        <sz val="9"/>
        <color indexed="17"/>
        <rFont val="Arial"/>
        <family val="2"/>
      </rPr>
      <t>shaded "Blue"</t>
    </r>
    <r>
      <rPr>
        <sz val="9"/>
        <color indexed="17"/>
        <rFont val="Arial"/>
        <family val="2"/>
      </rPr>
      <t xml:space="preserve"> and it will populate the respective fields on the roster form to the left.</t>
    </r>
  </si>
  <si>
    <r>
      <t xml:space="preserve">Click on the </t>
    </r>
    <r>
      <rPr>
        <b/>
        <sz val="9"/>
        <color indexed="12"/>
        <rFont val="Arial"/>
        <family val="2"/>
      </rPr>
      <t>Links</t>
    </r>
    <r>
      <rPr>
        <sz val="9"/>
        <rFont val="Arial"/>
        <family val="2"/>
      </rPr>
      <t xml:space="preserve"> to insert your entries on the Official Team Roster. </t>
    </r>
  </si>
  <si>
    <t xml:space="preserve"> Data Entry</t>
  </si>
  <si>
    <r>
      <t xml:space="preserve">are set up like your </t>
    </r>
    <r>
      <rPr>
        <sz val="9"/>
        <color indexed="10"/>
        <rFont val="Arial"/>
        <family val="2"/>
      </rPr>
      <t xml:space="preserve">MAIN ASSOCIATION DATABASE </t>
    </r>
  </si>
  <si>
    <t>Read Me</t>
  </si>
  <si>
    <t>LAST NAME</t>
  </si>
  <si>
    <t>FIRST NAME</t>
  </si>
  <si>
    <t>Waiver Reason</t>
  </si>
  <si>
    <t>DO NOT TYPE!</t>
  </si>
  <si>
    <t>CBC CONTROL #</t>
  </si>
  <si>
    <t>Free Agents - Add ALL Free Agents to this list (Must have CBC approval)</t>
  </si>
  <si>
    <t>Free Agent</t>
  </si>
  <si>
    <t>Travel Player</t>
  </si>
  <si>
    <t>Telephone</t>
  </si>
  <si>
    <t>Email</t>
  </si>
  <si>
    <t>DO NOT TYPE ON THIS SHEET!! ENTER ALL DATA ON THE DATA ENTRY TAB!</t>
  </si>
  <si>
    <r>
      <t xml:space="preserve">Note the </t>
    </r>
    <r>
      <rPr>
        <b/>
        <sz val="9"/>
        <rFont val="Arial"/>
        <family val="2"/>
      </rPr>
      <t>TABS</t>
    </r>
    <r>
      <rPr>
        <sz val="9"/>
        <rFont val="Arial"/>
        <family val="2"/>
      </rPr>
      <t xml:space="preserve"> at bottom for the four worksheets in this file.</t>
    </r>
  </si>
  <si>
    <t xml:space="preserve">The 2nd tab is Data Entry. </t>
  </si>
  <si>
    <t>All data input is done on this tab ONLY!</t>
  </si>
  <si>
    <r>
      <t xml:space="preserve">     The 3rd tab is named "</t>
    </r>
    <r>
      <rPr>
        <b/>
        <sz val="9"/>
        <rFont val="Arial"/>
        <family val="2"/>
      </rPr>
      <t>Official Team Roster</t>
    </r>
    <r>
      <rPr>
        <sz val="9"/>
        <rFont val="Arial"/>
        <family val="2"/>
      </rPr>
      <t>".  This is turned into CBC.</t>
    </r>
  </si>
  <si>
    <t>Assoc notes</t>
  </si>
  <si>
    <t>Travel Player?</t>
  </si>
  <si>
    <t>ONLY ADD INFO TO THIS PAGE!  DO NOT Type directly into the Official Team Roster TAB,  or on the Game Roster TAB</t>
  </si>
  <si>
    <t>DOB  M/D/20XX</t>
  </si>
  <si>
    <t>Calculated AGE</t>
  </si>
  <si>
    <t>Parent Emal</t>
  </si>
  <si>
    <t xml:space="preserve"> </t>
  </si>
  <si>
    <t>SCOTT</t>
  </si>
  <si>
    <t>COHEN</t>
  </si>
  <si>
    <t>DAVID</t>
  </si>
  <si>
    <t>CARROLL</t>
  </si>
  <si>
    <t>12101 SLOAN DRIVE</t>
  </si>
  <si>
    <t>CHESTER</t>
  </si>
  <si>
    <t>VA</t>
  </si>
  <si>
    <t>JDC0120@GMAIL.COM</t>
  </si>
  <si>
    <t>JAMES</t>
  </si>
  <si>
    <t>ANTHONY</t>
  </si>
  <si>
    <t>SHERRILL</t>
  </si>
  <si>
    <t>2100 BURGESS ROAD</t>
  </si>
  <si>
    <t>MSHERRILL284@GMAIL.COM</t>
  </si>
  <si>
    <t>KEVIN</t>
  </si>
  <si>
    <t>TUCKER III</t>
  </si>
  <si>
    <t>13001 RIVERS BEND ROAD</t>
  </si>
  <si>
    <t>KEVIN_TUCKER@CCPSNET.NET</t>
  </si>
  <si>
    <t>MARCELLO</t>
  </si>
  <si>
    <t>NOAH</t>
  </si>
  <si>
    <t>LANE</t>
  </si>
  <si>
    <t>439 FULCHER LANE</t>
  </si>
  <si>
    <t>RLANE2763@GMAIL.COM</t>
  </si>
  <si>
    <t>JAXON</t>
  </si>
  <si>
    <t>EMANUEL</t>
  </si>
  <si>
    <t>FISCHER</t>
  </si>
  <si>
    <t>2405 PRINCE GEORGE AVENUE</t>
  </si>
  <si>
    <t>EDDIEFISCH@GMAIL.COM</t>
  </si>
  <si>
    <t>BARRETT</t>
  </si>
  <si>
    <t>PEYTON</t>
  </si>
  <si>
    <t>VOROS</t>
  </si>
  <si>
    <t>7407 DUNOLLIE DRIVE</t>
  </si>
  <si>
    <t>GATES</t>
  </si>
  <si>
    <t>DPVOROS1@GMAIL.COM</t>
  </si>
  <si>
    <t>OLSEN</t>
  </si>
  <si>
    <t>CARDWELL</t>
  </si>
  <si>
    <t>CONNER</t>
  </si>
  <si>
    <t>13813 TOBACCO BAY COURT</t>
  </si>
  <si>
    <t>CONNEREG@YAHOO.COM</t>
  </si>
  <si>
    <t>GRIFFIN</t>
  </si>
  <si>
    <t>MARK</t>
  </si>
  <si>
    <t>GUILD</t>
  </si>
  <si>
    <t>1607 LITWACK COVE TERRACE</t>
  </si>
  <si>
    <t>ASHLEYGUILD.VA@GMAIL.COM</t>
  </si>
  <si>
    <t>PARKER</t>
  </si>
  <si>
    <t>EVERETT</t>
  </si>
  <si>
    <t>BOWLING</t>
  </si>
  <si>
    <t>2506 CHANNELMARK COURT</t>
  </si>
  <si>
    <t>ENON</t>
  </si>
  <si>
    <t>TRAVISWBOWLING@GMAIL.COM</t>
  </si>
  <si>
    <t>DAVONTE</t>
  </si>
  <si>
    <t>MESSIAH</t>
  </si>
  <si>
    <t>THOMAS</t>
  </si>
  <si>
    <t>1424 MANGROVE BAY TERRACE</t>
  </si>
  <si>
    <t>GREGT7878@GMAIL.COM</t>
  </si>
  <si>
    <t>FINNEGAN</t>
  </si>
  <si>
    <t>MCCOLGAN</t>
  </si>
  <si>
    <t>1800 MAINSAIL LANE</t>
  </si>
  <si>
    <t>BMCPARKER82@GMAIL.COM</t>
  </si>
  <si>
    <t>KINGSTON</t>
  </si>
  <si>
    <t>G</t>
  </si>
  <si>
    <t>SLOAN</t>
  </si>
  <si>
    <t>800 CLUBCREST BLVD</t>
  </si>
  <si>
    <t>KSLOAN85@AOL.COM</t>
  </si>
  <si>
    <t>EDDIE</t>
  </si>
  <si>
    <t>BROCK</t>
  </si>
  <si>
    <t>800 MAINSAIL LANE</t>
  </si>
  <si>
    <t>PLYD WITH SCOTT KIDS IN CCLL</t>
  </si>
  <si>
    <t>CCLL</t>
  </si>
  <si>
    <t>PINTO</t>
  </si>
  <si>
    <t>FISCHER III</t>
  </si>
  <si>
    <t>RICHARD</t>
  </si>
  <si>
    <t>ALAN</t>
  </si>
  <si>
    <t>TUCKER 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</si>
</sst>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"/>
    <numFmt numFmtId="165" formatCode="[&lt;=9999999]###\-####;\(###\)\ ###\-####"/>
    <numFmt numFmtId="166" formatCode="00000#"/>
  </numFmts>
  <fonts count="39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sz val="6"/>
      <name val="Arial"/>
      <family val="2"/>
    </font>
    <font>
      <b/>
      <sz val="9"/>
      <color indexed="12"/>
      <name val="Arial"/>
      <family val="2"/>
    </font>
    <font>
      <u/>
      <sz val="10"/>
      <color indexed="12"/>
      <name val="Arial"/>
      <family val="2"/>
    </font>
    <font>
      <sz val="9"/>
      <color indexed="17"/>
      <name val="Arial"/>
      <family val="2"/>
    </font>
    <font>
      <b/>
      <sz val="9"/>
      <color indexed="10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b/>
      <sz val="8"/>
      <color indexed="10"/>
      <name val="Arial"/>
      <family val="2"/>
    </font>
    <font>
      <b/>
      <sz val="9"/>
      <color indexed="17"/>
      <name val="Arial"/>
      <family val="2"/>
    </font>
    <font>
      <b/>
      <sz val="10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u/>
      <sz val="8"/>
      <color indexed="12"/>
      <name val="Arial"/>
      <family val="2"/>
    </font>
    <font>
      <u/>
      <sz val="9"/>
      <color indexed="12"/>
      <name val="Arial"/>
      <family val="2"/>
    </font>
    <font>
      <sz val="10"/>
      <name val="Arial"/>
      <family val="2"/>
    </font>
    <font>
      <b/>
      <u/>
      <sz val="8"/>
      <color indexed="12"/>
      <name val="Arial"/>
      <family val="2"/>
    </font>
    <font>
      <b/>
      <u/>
      <sz val="10"/>
      <color indexed="12"/>
      <name val="Arial"/>
      <family val="2"/>
    </font>
    <font>
      <b/>
      <sz val="10"/>
      <color indexed="12"/>
      <name val="Arial"/>
      <family val="2"/>
    </font>
    <font>
      <b/>
      <i/>
      <sz val="9"/>
      <name val="Arial"/>
      <family val="2"/>
    </font>
    <font>
      <b/>
      <i/>
      <u/>
      <sz val="8"/>
      <color indexed="12"/>
      <name val="Arial"/>
      <family val="2"/>
    </font>
    <font>
      <sz val="9"/>
      <color indexed="10"/>
      <name val="Arial"/>
      <family val="2"/>
    </font>
    <font>
      <sz val="9"/>
      <color indexed="81"/>
      <name val="Tahoma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7"/>
      <name val="Arial"/>
      <family val="2"/>
    </font>
    <font>
      <b/>
      <sz val="9"/>
      <color indexed="81"/>
      <name val="Tahoma"/>
      <family val="2"/>
    </font>
    <font>
      <b/>
      <sz val="10"/>
      <color rgb="FFFF0000"/>
      <name val="Arial"/>
      <family val="2"/>
    </font>
    <font>
      <b/>
      <sz val="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lightGray"/>
    </fill>
    <fill>
      <patternFill patternType="gray0625">
        <bgColor indexed="47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 style="thick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216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6" fillId="0" borderId="1" xfId="0" applyFont="1" applyBorder="1"/>
    <xf numFmtId="49" fontId="3" fillId="0" borderId="0" xfId="0" applyNumberFormat="1" applyFont="1"/>
    <xf numFmtId="164" fontId="7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5" fillId="0" borderId="0" xfId="0" applyFont="1"/>
    <xf numFmtId="0" fontId="16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164" fontId="17" fillId="0" borderId="0" xfId="0" applyNumberFormat="1" applyFont="1" applyAlignment="1">
      <alignment horizontal="center"/>
    </xf>
    <xf numFmtId="0" fontId="12" fillId="2" borderId="0" xfId="0" applyFont="1" applyFill="1"/>
    <xf numFmtId="164" fontId="7" fillId="2" borderId="0" xfId="0" applyNumberFormat="1" applyFont="1" applyFill="1" applyAlignment="1">
      <alignment horizontal="center"/>
    </xf>
    <xf numFmtId="0" fontId="9" fillId="0" borderId="0" xfId="0" applyFont="1" applyAlignment="1">
      <alignment horizontal="center" vertical="top"/>
    </xf>
    <xf numFmtId="0" fontId="10" fillId="0" borderId="2" xfId="0" applyFont="1" applyBorder="1" applyAlignment="1">
      <alignment horizontal="center"/>
    </xf>
    <xf numFmtId="0" fontId="19" fillId="0" borderId="2" xfId="0" applyFont="1" applyBorder="1"/>
    <xf numFmtId="0" fontId="19" fillId="0" borderId="2" xfId="0" applyFont="1" applyBorder="1" applyAlignment="1">
      <alignment horizontal="center"/>
    </xf>
    <xf numFmtId="164" fontId="19" fillId="0" borderId="2" xfId="0" applyNumberFormat="1" applyFont="1" applyBorder="1" applyAlignment="1">
      <alignment horizontal="center"/>
    </xf>
    <xf numFmtId="0" fontId="19" fillId="0" borderId="4" xfId="0" applyFont="1" applyBorder="1"/>
    <xf numFmtId="0" fontId="4" fillId="3" borderId="2" xfId="0" applyFont="1" applyFill="1" applyBorder="1"/>
    <xf numFmtId="0" fontId="4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4" fillId="2" borderId="0" xfId="0" applyFont="1" applyFill="1"/>
    <xf numFmtId="0" fontId="15" fillId="2" borderId="0" xfId="0" applyFont="1" applyFill="1"/>
    <xf numFmtId="0" fontId="15" fillId="2" borderId="0" xfId="0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5" fillId="0" borderId="0" xfId="0" applyFont="1" applyAlignment="1">
      <alignment horizontal="right"/>
    </xf>
    <xf numFmtId="0" fontId="0" fillId="3" borderId="5" xfId="0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15" fillId="0" borderId="8" xfId="0" applyFont="1" applyBorder="1"/>
    <xf numFmtId="0" fontId="15" fillId="0" borderId="9" xfId="0" applyFont="1" applyBorder="1"/>
    <xf numFmtId="0" fontId="15" fillId="0" borderId="10" xfId="0" applyFont="1" applyBorder="1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9" fillId="0" borderId="0" xfId="0" applyFont="1"/>
    <xf numFmtId="0" fontId="17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3" fillId="3" borderId="0" xfId="0" applyFont="1" applyFill="1"/>
    <xf numFmtId="0" fontId="26" fillId="0" borderId="2" xfId="1" applyFont="1" applyBorder="1" applyAlignment="1" applyProtection="1">
      <alignment horizontal="center"/>
    </xf>
    <xf numFmtId="0" fontId="4" fillId="3" borderId="2" xfId="1" applyFont="1" applyFill="1" applyBorder="1" applyAlignment="1" applyProtection="1">
      <alignment horizontal="center"/>
    </xf>
    <xf numFmtId="0" fontId="6" fillId="0" borderId="11" xfId="0" applyFont="1" applyBorder="1"/>
    <xf numFmtId="0" fontId="6" fillId="0" borderId="12" xfId="0" applyFont="1" applyBorder="1"/>
    <xf numFmtId="0" fontId="6" fillId="0" borderId="13" xfId="0" applyFont="1" applyBorder="1"/>
    <xf numFmtId="0" fontId="24" fillId="0" borderId="0" xfId="1" applyFont="1" applyBorder="1" applyAlignment="1" applyProtection="1">
      <alignment horizontal="right"/>
    </xf>
    <xf numFmtId="0" fontId="24" fillId="0" borderId="0" xfId="1" applyFont="1" applyBorder="1" applyAlignment="1" applyProtection="1">
      <alignment horizontal="center"/>
    </xf>
    <xf numFmtId="0" fontId="24" fillId="0" borderId="0" xfId="1" applyFont="1" applyBorder="1" applyAlignment="1" applyProtection="1"/>
    <xf numFmtId="0" fontId="6" fillId="0" borderId="14" xfId="0" applyFont="1" applyBorder="1"/>
    <xf numFmtId="0" fontId="23" fillId="0" borderId="0" xfId="1" applyFont="1" applyBorder="1" applyAlignment="1" applyProtection="1">
      <alignment horizontal="center"/>
    </xf>
    <xf numFmtId="0" fontId="23" fillId="2" borderId="15" xfId="1" applyFont="1" applyFill="1" applyBorder="1" applyAlignment="1" applyProtection="1"/>
    <xf numFmtId="0" fontId="6" fillId="2" borderId="11" xfId="0" applyFont="1" applyFill="1" applyBorder="1"/>
    <xf numFmtId="0" fontId="23" fillId="0" borderId="0" xfId="1" applyFont="1" applyBorder="1" applyAlignment="1" applyProtection="1"/>
    <xf numFmtId="0" fontId="27" fillId="2" borderId="0" xfId="1" applyFont="1" applyFill="1" applyAlignment="1" applyProtection="1"/>
    <xf numFmtId="0" fontId="28" fillId="4" borderId="0" xfId="0" applyFont="1" applyFill="1"/>
    <xf numFmtId="0" fontId="24" fillId="2" borderId="15" xfId="1" applyFont="1" applyFill="1" applyBorder="1" applyAlignment="1" applyProtection="1"/>
    <xf numFmtId="0" fontId="6" fillId="0" borderId="16" xfId="0" applyFont="1" applyBorder="1"/>
    <xf numFmtId="0" fontId="6" fillId="0" borderId="17" xfId="0" applyFont="1" applyBorder="1"/>
    <xf numFmtId="0" fontId="6" fillId="5" borderId="0" xfId="0" applyFont="1" applyFill="1"/>
    <xf numFmtId="0" fontId="13" fillId="0" borderId="13" xfId="0" applyFont="1" applyBorder="1"/>
    <xf numFmtId="0" fontId="24" fillId="0" borderId="1" xfId="1" applyFont="1" applyBorder="1" applyAlignment="1" applyProtection="1"/>
    <xf numFmtId="0" fontId="13" fillId="0" borderId="0" xfId="0" applyFont="1"/>
    <xf numFmtId="0" fontId="26" fillId="0" borderId="2" xfId="1" applyFont="1" applyBorder="1" applyAlignment="1" applyProtection="1"/>
    <xf numFmtId="0" fontId="26" fillId="0" borderId="0" xfId="1" applyFont="1" applyBorder="1" applyAlignment="1" applyProtection="1">
      <alignment horizontal="center"/>
    </xf>
    <xf numFmtId="0" fontId="29" fillId="0" borderId="0" xfId="0" applyFont="1"/>
    <xf numFmtId="0" fontId="26" fillId="0" borderId="0" xfId="1" applyFont="1" applyBorder="1" applyAlignment="1" applyProtection="1">
      <alignment horizontal="right"/>
    </xf>
    <xf numFmtId="0" fontId="26" fillId="0" borderId="0" xfId="1" applyFont="1" applyBorder="1" applyAlignment="1" applyProtection="1"/>
    <xf numFmtId="0" fontId="30" fillId="2" borderId="2" xfId="1" applyFont="1" applyFill="1" applyBorder="1" applyAlignment="1" applyProtection="1"/>
    <xf numFmtId="0" fontId="26" fillId="0" borderId="2" xfId="1" applyNumberFormat="1" applyFont="1" applyBorder="1" applyAlignment="1" applyProtection="1">
      <alignment horizontal="center"/>
    </xf>
    <xf numFmtId="0" fontId="4" fillId="3" borderId="2" xfId="0" applyFont="1" applyFill="1" applyBorder="1" applyAlignment="1" applyProtection="1">
      <alignment horizontal="center"/>
      <protection locked="0"/>
    </xf>
    <xf numFmtId="0" fontId="11" fillId="0" borderId="0" xfId="1" applyAlignment="1" applyProtection="1"/>
    <xf numFmtId="0" fontId="7" fillId="3" borderId="3" xfId="0" applyFont="1" applyFill="1" applyBorder="1" applyAlignment="1" applyProtection="1">
      <alignment horizontal="left"/>
      <protection locked="0"/>
    </xf>
    <xf numFmtId="0" fontId="12" fillId="0" borderId="0" xfId="0" applyFont="1" applyAlignment="1">
      <alignment horizontal="right"/>
    </xf>
    <xf numFmtId="49" fontId="10" fillId="0" borderId="0" xfId="0" applyNumberFormat="1" applyFont="1"/>
    <xf numFmtId="0" fontId="8" fillId="0" borderId="0" xfId="0" applyFont="1"/>
    <xf numFmtId="0" fontId="3" fillId="0" borderId="0" xfId="0" applyFont="1" applyAlignment="1">
      <alignment horizontal="right"/>
    </xf>
    <xf numFmtId="0" fontId="3" fillId="0" borderId="1" xfId="0" applyFont="1" applyBorder="1" applyAlignment="1">
      <alignment horizontal="center"/>
    </xf>
    <xf numFmtId="0" fontId="6" fillId="0" borderId="18" xfId="0" applyFont="1" applyBorder="1"/>
    <xf numFmtId="0" fontId="3" fillId="0" borderId="18" xfId="0" applyFont="1" applyBorder="1"/>
    <xf numFmtId="0" fontId="6" fillId="0" borderId="18" xfId="0" applyFont="1" applyBorder="1" applyAlignment="1">
      <alignment horizontal="center"/>
    </xf>
    <xf numFmtId="49" fontId="3" fillId="0" borderId="19" xfId="0" applyNumberFormat="1" applyFont="1" applyBorder="1"/>
    <xf numFmtId="0" fontId="3" fillId="0" borderId="20" xfId="0" applyFont="1" applyBorder="1"/>
    <xf numFmtId="0" fontId="6" fillId="0" borderId="20" xfId="0" applyFont="1" applyBorder="1"/>
    <xf numFmtId="0" fontId="3" fillId="0" borderId="20" xfId="0" applyFont="1" applyBorder="1" applyAlignment="1">
      <alignment horizontal="center"/>
    </xf>
    <xf numFmtId="49" fontId="3" fillId="0" borderId="0" xfId="0" applyNumberFormat="1" applyFont="1" applyAlignment="1">
      <alignment horizontal="right"/>
    </xf>
    <xf numFmtId="0" fontId="3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164" fontId="4" fillId="0" borderId="0" xfId="0" applyNumberFormat="1" applyFont="1" applyAlignment="1">
      <alignment horizontal="right"/>
    </xf>
    <xf numFmtId="1" fontId="4" fillId="0" borderId="0" xfId="0" applyNumberFormat="1" applyFont="1" applyAlignment="1">
      <alignment horizontal="center"/>
    </xf>
    <xf numFmtId="49" fontId="3" fillId="0" borderId="1" xfId="0" applyNumberFormat="1" applyFont="1" applyBorder="1" applyAlignment="1">
      <alignment horizontal="right"/>
    </xf>
    <xf numFmtId="166" fontId="2" fillId="0" borderId="18" xfId="0" applyNumberFormat="1" applyFont="1" applyBorder="1" applyAlignment="1">
      <alignment horizontal="left"/>
    </xf>
    <xf numFmtId="0" fontId="0" fillId="0" borderId="18" xfId="0" applyBorder="1"/>
    <xf numFmtId="0" fontId="4" fillId="0" borderId="18" xfId="0" applyFont="1" applyBorder="1"/>
    <xf numFmtId="0" fontId="18" fillId="0" borderId="18" xfId="0" applyFont="1" applyBorder="1" applyAlignment="1">
      <alignment horizontal="center"/>
    </xf>
    <xf numFmtId="0" fontId="0" fillId="0" borderId="18" xfId="0" applyBorder="1" applyAlignment="1">
      <alignment horizontal="center"/>
    </xf>
    <xf numFmtId="164" fontId="0" fillId="0" borderId="18" xfId="0" applyNumberFormat="1" applyBorder="1" applyAlignment="1">
      <alignment horizontal="right"/>
    </xf>
    <xf numFmtId="0" fontId="4" fillId="0" borderId="18" xfId="0" applyFont="1" applyBorder="1" applyAlignment="1">
      <alignment horizontal="center"/>
    </xf>
    <xf numFmtId="164" fontId="4" fillId="0" borderId="18" xfId="0" applyNumberFormat="1" applyFont="1" applyBorder="1" applyAlignment="1">
      <alignment horizontal="right"/>
    </xf>
    <xf numFmtId="0" fontId="3" fillId="0" borderId="18" xfId="0" applyFont="1" applyBorder="1" applyAlignment="1">
      <alignment horizontal="center"/>
    </xf>
    <xf numFmtId="49" fontId="3" fillId="0" borderId="1" xfId="0" applyNumberFormat="1" applyFont="1" applyBorder="1"/>
    <xf numFmtId="0" fontId="18" fillId="0" borderId="0" xfId="0" applyFont="1" applyAlignment="1">
      <alignment horizontal="center"/>
    </xf>
    <xf numFmtId="0" fontId="0" fillId="0" borderId="1" xfId="0" applyBorder="1"/>
    <xf numFmtId="0" fontId="18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8" xfId="0" applyFont="1" applyBorder="1" applyAlignment="1">
      <alignment horizontal="right"/>
    </xf>
    <xf numFmtId="0" fontId="5" fillId="0" borderId="21" xfId="0" applyFont="1" applyBorder="1"/>
    <xf numFmtId="0" fontId="4" fillId="0" borderId="21" xfId="0" applyFont="1" applyBorder="1"/>
    <xf numFmtId="0" fontId="5" fillId="0" borderId="21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3" fillId="0" borderId="1" xfId="0" applyFont="1" applyBorder="1"/>
    <xf numFmtId="0" fontId="4" fillId="0" borderId="1" xfId="0" applyFont="1" applyBorder="1"/>
    <xf numFmtId="0" fontId="5" fillId="0" borderId="18" xfId="0" applyFont="1" applyBorder="1" applyAlignment="1">
      <alignment horizontal="center"/>
    </xf>
    <xf numFmtId="49" fontId="3" fillId="0" borderId="22" xfId="0" applyNumberFormat="1" applyFont="1" applyBorder="1"/>
    <xf numFmtId="0" fontId="3" fillId="0" borderId="22" xfId="0" applyFont="1" applyBorder="1"/>
    <xf numFmtId="0" fontId="6" fillId="0" borderId="22" xfId="0" applyFont="1" applyBorder="1"/>
    <xf numFmtId="0" fontId="4" fillId="0" borderId="22" xfId="0" applyFont="1" applyBorder="1"/>
    <xf numFmtId="0" fontId="4" fillId="0" borderId="22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49" fontId="3" fillId="0" borderId="23" xfId="0" applyNumberFormat="1" applyFont="1" applyBorder="1" applyAlignment="1">
      <alignment horizontal="right"/>
    </xf>
    <xf numFmtId="0" fontId="4" fillId="0" borderId="23" xfId="0" applyFont="1" applyBorder="1"/>
    <xf numFmtId="0" fontId="6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18" xfId="0" applyFont="1" applyBorder="1" applyAlignment="1">
      <alignment horizontal="left"/>
    </xf>
    <xf numFmtId="0" fontId="1" fillId="0" borderId="18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18" fillId="0" borderId="22" xfId="0" applyFont="1" applyBorder="1" applyAlignment="1">
      <alignment horizontal="center"/>
    </xf>
    <xf numFmtId="0" fontId="11" fillId="0" borderId="0" xfId="1" applyBorder="1" applyAlignment="1" applyProtection="1">
      <alignment horizontal="center"/>
    </xf>
    <xf numFmtId="14" fontId="33" fillId="4" borderId="0" xfId="0" applyNumberFormat="1" applyFont="1" applyFill="1" applyAlignment="1" applyProtection="1">
      <alignment horizontal="center"/>
      <protection locked="0"/>
    </xf>
    <xf numFmtId="0" fontId="0" fillId="6" borderId="24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5" fillId="6" borderId="26" xfId="0" applyFont="1" applyFill="1" applyBorder="1" applyAlignment="1">
      <alignment horizontal="center"/>
    </xf>
    <xf numFmtId="0" fontId="4" fillId="6" borderId="26" xfId="0" applyFont="1" applyFill="1" applyBorder="1"/>
    <xf numFmtId="0" fontId="4" fillId="6" borderId="26" xfId="0" applyFont="1" applyFill="1" applyBorder="1" applyAlignment="1">
      <alignment horizontal="center"/>
    </xf>
    <xf numFmtId="164" fontId="4" fillId="6" borderId="26" xfId="0" applyNumberFormat="1" applyFont="1" applyFill="1" applyBorder="1" applyAlignment="1">
      <alignment horizontal="center"/>
    </xf>
    <xf numFmtId="0" fontId="4" fillId="6" borderId="26" xfId="0" applyFont="1" applyFill="1" applyBorder="1" applyAlignment="1">
      <alignment horizontal="left"/>
    </xf>
    <xf numFmtId="0" fontId="0" fillId="6" borderId="27" xfId="0" applyFill="1" applyBorder="1"/>
    <xf numFmtId="0" fontId="17" fillId="2" borderId="0" xfId="0" applyFont="1" applyFill="1"/>
    <xf numFmtId="165" fontId="4" fillId="0" borderId="0" xfId="0" applyNumberFormat="1" applyFont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4" fillId="0" borderId="18" xfId="0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5" fontId="4" fillId="0" borderId="22" xfId="0" applyNumberFormat="1" applyFont="1" applyBorder="1" applyAlignment="1">
      <alignment horizontal="center"/>
    </xf>
    <xf numFmtId="0" fontId="19" fillId="0" borderId="2" xfId="0" applyFont="1" applyBorder="1" applyAlignment="1" applyProtection="1">
      <alignment horizontal="right"/>
      <protection hidden="1"/>
    </xf>
    <xf numFmtId="0" fontId="34" fillId="0" borderId="0" xfId="0" applyFont="1" applyAlignment="1" applyProtection="1">
      <alignment horizontal="center"/>
      <protection hidden="1"/>
    </xf>
    <xf numFmtId="0" fontId="3" fillId="0" borderId="1" xfId="0" applyFont="1" applyBorder="1" applyAlignment="1">
      <alignment horizontal="left"/>
    </xf>
    <xf numFmtId="0" fontId="25" fillId="3" borderId="2" xfId="0" applyFont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14" fontId="25" fillId="3" borderId="2" xfId="0" applyNumberFormat="1" applyFont="1" applyFill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18" xfId="0" applyNumberFormat="1" applyFont="1" applyBorder="1" applyAlignment="1">
      <alignment horizontal="center"/>
    </xf>
    <xf numFmtId="49" fontId="18" fillId="0" borderId="0" xfId="0" applyNumberFormat="1" applyFont="1" applyAlignment="1">
      <alignment horizontal="center"/>
    </xf>
    <xf numFmtId="0" fontId="7" fillId="7" borderId="0" xfId="0" applyFont="1" applyFill="1"/>
    <xf numFmtId="164" fontId="13" fillId="7" borderId="28" xfId="0" applyNumberFormat="1" applyFont="1" applyFill="1" applyBorder="1" applyAlignment="1">
      <alignment horizontal="center"/>
    </xf>
    <xf numFmtId="0" fontId="35" fillId="2" borderId="0" xfId="0" applyFont="1" applyFill="1"/>
    <xf numFmtId="0" fontId="25" fillId="0" borderId="0" xfId="0" applyFont="1"/>
    <xf numFmtId="0" fontId="25" fillId="0" borderId="0" xfId="0" applyFont="1" applyAlignment="1">
      <alignment horizontal="center"/>
    </xf>
    <xf numFmtId="0" fontId="19" fillId="0" borderId="5" xfId="0" applyFont="1" applyBorder="1" applyAlignment="1">
      <alignment horizontal="center"/>
    </xf>
    <xf numFmtId="0" fontId="25" fillId="3" borderId="3" xfId="0" applyFont="1" applyFill="1" applyBorder="1" applyAlignment="1">
      <alignment horizontal="center"/>
    </xf>
    <xf numFmtId="164" fontId="19" fillId="0" borderId="0" xfId="0" applyNumberFormat="1" applyFont="1" applyAlignment="1">
      <alignment horizontal="center"/>
    </xf>
    <xf numFmtId="0" fontId="0" fillId="7" borderId="0" xfId="0" applyFill="1" applyAlignment="1">
      <alignment horizontal="center"/>
    </xf>
    <xf numFmtId="0" fontId="5" fillId="8" borderId="0" xfId="0" applyFont="1" applyFill="1"/>
    <xf numFmtId="1" fontId="25" fillId="8" borderId="0" xfId="0" applyNumberFormat="1" applyFont="1" applyFill="1" applyAlignment="1" applyProtection="1">
      <alignment horizontal="right"/>
      <protection locked="0"/>
    </xf>
    <xf numFmtId="0" fontId="6" fillId="3" borderId="3" xfId="0" applyFont="1" applyFill="1" applyBorder="1" applyProtection="1">
      <protection locked="0"/>
    </xf>
    <xf numFmtId="0" fontId="19" fillId="0" borderId="2" xfId="0" applyFont="1" applyBorder="1" applyAlignment="1">
      <alignment horizontal="center" wrapText="1"/>
    </xf>
    <xf numFmtId="0" fontId="19" fillId="0" borderId="5" xfId="0" applyFont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3" fillId="0" borderId="35" xfId="0" applyFont="1" applyBorder="1" applyAlignment="1">
      <alignment horizontal="center" wrapText="1"/>
    </xf>
    <xf numFmtId="0" fontId="3" fillId="0" borderId="36" xfId="0" applyFont="1" applyBorder="1" applyAlignment="1">
      <alignment horizontal="center" wrapText="1"/>
    </xf>
    <xf numFmtId="49" fontId="6" fillId="3" borderId="2" xfId="0" applyNumberFormat="1" applyFont="1" applyFill="1" applyBorder="1" applyProtection="1">
      <protection locked="0"/>
    </xf>
    <xf numFmtId="0" fontId="37" fillId="0" borderId="0" xfId="0" applyFont="1"/>
    <xf numFmtId="0" fontId="20" fillId="0" borderId="0" xfId="0" applyFont="1" applyAlignment="1">
      <alignment horizontal="center"/>
    </xf>
    <xf numFmtId="0" fontId="19" fillId="0" borderId="36" xfId="0" applyFont="1" applyBorder="1" applyAlignment="1">
      <alignment horizontal="center"/>
    </xf>
    <xf numFmtId="0" fontId="4" fillId="6" borderId="36" xfId="0" applyFont="1" applyFill="1" applyBorder="1" applyAlignment="1">
      <alignment horizontal="left"/>
    </xf>
    <xf numFmtId="0" fontId="2" fillId="3" borderId="6" xfId="0" applyFont="1" applyFill="1" applyBorder="1"/>
    <xf numFmtId="0" fontId="2" fillId="3" borderId="2" xfId="0" applyFont="1" applyFill="1" applyBorder="1" applyAlignment="1">
      <alignment horizontal="center"/>
    </xf>
    <xf numFmtId="0" fontId="11" fillId="3" borderId="16" xfId="1" applyFill="1" applyBorder="1" applyAlignment="1" applyProtection="1">
      <alignment horizontal="center"/>
    </xf>
    <xf numFmtId="164" fontId="19" fillId="0" borderId="2" xfId="0" applyNumberFormat="1" applyFont="1" applyBorder="1" applyAlignment="1">
      <alignment horizontal="center" wrapText="1"/>
    </xf>
    <xf numFmtId="0" fontId="16" fillId="8" borderId="5" xfId="0" applyFont="1" applyFill="1" applyBorder="1" applyAlignment="1">
      <alignment horizontal="center" wrapText="1"/>
    </xf>
    <xf numFmtId="0" fontId="5" fillId="0" borderId="36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8" fillId="0" borderId="0" xfId="0" applyFont="1" applyAlignment="1">
      <alignment horizontal="center"/>
    </xf>
    <xf numFmtId="0" fontId="38" fillId="0" borderId="0" xfId="0" applyFont="1" applyAlignment="1">
      <alignment horizontal="center" vertical="top"/>
    </xf>
    <xf numFmtId="0" fontId="1" fillId="0" borderId="0" xfId="0" applyFont="1"/>
    <xf numFmtId="0" fontId="19" fillId="0" borderId="5" xfId="0" applyFont="1" applyBorder="1"/>
    <xf numFmtId="0" fontId="4" fillId="6" borderId="0" xfId="0" applyFont="1" applyFill="1" applyAlignment="1">
      <alignment horizontal="center"/>
    </xf>
    <xf numFmtId="0" fontId="11" fillId="3" borderId="2" xfId="1" applyFill="1" applyBorder="1" applyAlignment="1" applyProtection="1">
      <alignment horizontal="center"/>
    </xf>
    <xf numFmtId="0" fontId="2" fillId="3" borderId="2" xfId="0" applyFont="1" applyFill="1" applyBorder="1"/>
    <xf numFmtId="0" fontId="3" fillId="0" borderId="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top"/>
    </xf>
    <xf numFmtId="0" fontId="9" fillId="0" borderId="30" xfId="0" applyFont="1" applyBorder="1" applyAlignment="1">
      <alignment horizontal="center" vertical="top"/>
    </xf>
    <xf numFmtId="0" fontId="9" fillId="0" borderId="22" xfId="0" applyFont="1" applyBorder="1" applyAlignment="1">
      <alignment horizontal="center" vertical="top"/>
    </xf>
    <xf numFmtId="0" fontId="9" fillId="0" borderId="31" xfId="0" applyFont="1" applyBorder="1" applyAlignment="1">
      <alignment horizontal="center" vertical="top"/>
    </xf>
    <xf numFmtId="0" fontId="9" fillId="0" borderId="32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238125</xdr:colOff>
      <xdr:row>12</xdr:row>
      <xdr:rowOff>0</xdr:rowOff>
    </xdr:from>
    <xdr:to>
      <xdr:col>11</xdr:col>
      <xdr:colOff>198135</xdr:colOff>
      <xdr:row>15</xdr:row>
      <xdr:rowOff>30667</xdr:rowOff>
    </xdr:to>
    <xdr:sp macro="" textlink="">
      <xdr:nvSpPr>
        <xdr:cNvPr id="3075" name="AutoShape 3">
          <a:extLst>
            <a:ext uri="{FF2B5EF4-FFF2-40B4-BE49-F238E27FC236}">
              <a16:creationId xmlns:a16="http://schemas.microsoft.com/office/drawing/2014/main" id="{6FDA6DD6-B0FE-D577-B594-2FAEBBD62536}"/>
            </a:ext>
          </a:extLst>
        </xdr:cNvPr>
        <xdr:cNvSpPr>
          <a:spLocks noChangeArrowheads="1"/>
        </xdr:cNvSpPr>
      </xdr:nvSpPr>
      <xdr:spPr bwMode="auto">
        <a:xfrm>
          <a:off x="5433060" y="1501140"/>
          <a:ext cx="1188720" cy="464820"/>
        </a:xfrm>
        <a:prstGeom prst="wedgeRectCallout">
          <a:avLst>
            <a:gd name="adj1" fmla="val 33870"/>
            <a:gd name="adj2" fmla="val 100981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Hold your mouse over the Red Corner to see Comments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331471</xdr:colOff>
      <xdr:row>0</xdr:row>
      <xdr:rowOff>121921</xdr:rowOff>
    </xdr:from>
    <xdr:to>
      <xdr:col>16</xdr:col>
      <xdr:colOff>106681</xdr:colOff>
      <xdr:row>2</xdr:row>
      <xdr:rowOff>121921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B8EA6495-7152-4B1A-9018-ED72088627C3}"/>
            </a:ext>
          </a:extLst>
        </xdr:cNvPr>
        <xdr:cNvSpPr>
          <a:spLocks noChangeArrowheads="1"/>
        </xdr:cNvSpPr>
      </xdr:nvSpPr>
      <xdr:spPr bwMode="auto">
        <a:xfrm>
          <a:off x="10450831" y="121921"/>
          <a:ext cx="994410" cy="335280"/>
        </a:xfrm>
        <a:prstGeom prst="wedgeRectCallout">
          <a:avLst>
            <a:gd name="adj1" fmla="val -3625"/>
            <a:gd name="adj2" fmla="val 214768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</a:t>
          </a: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f Free Agent </a:t>
          </a:r>
        </a:p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Enter "X" in column</a:t>
          </a:r>
        </a:p>
      </xdr:txBody>
    </xdr:sp>
    <xdr:clientData/>
  </xdr:twoCellAnchor>
  <xdr:twoCellAnchor>
    <xdr:from>
      <xdr:col>12</xdr:col>
      <xdr:colOff>299085</xdr:colOff>
      <xdr:row>1</xdr:row>
      <xdr:rowOff>144780</xdr:rowOff>
    </xdr:from>
    <xdr:to>
      <xdr:col>14</xdr:col>
      <xdr:colOff>260966</xdr:colOff>
      <xdr:row>3</xdr:row>
      <xdr:rowOff>154467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18E3852A-0F8E-4BAB-8F0B-EE38CDAB079C}"/>
            </a:ext>
          </a:extLst>
        </xdr:cNvPr>
        <xdr:cNvSpPr>
          <a:spLocks noChangeArrowheads="1"/>
        </xdr:cNvSpPr>
      </xdr:nvSpPr>
      <xdr:spPr bwMode="auto">
        <a:xfrm>
          <a:off x="9039225" y="312420"/>
          <a:ext cx="1341101" cy="352587"/>
        </a:xfrm>
        <a:prstGeom prst="wedgeRectCallout">
          <a:avLst>
            <a:gd name="adj1" fmla="val 47676"/>
            <a:gd name="adj2" fmla="val 152704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If  they Need BC</a:t>
          </a:r>
        </a:p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Enter "X" in column</a:t>
          </a:r>
        </a:p>
      </xdr:txBody>
    </xdr:sp>
    <xdr:clientData/>
  </xdr:twoCellAnchor>
  <xdr:twoCellAnchor>
    <xdr:from>
      <xdr:col>17</xdr:col>
      <xdr:colOff>350521</xdr:colOff>
      <xdr:row>0</xdr:row>
      <xdr:rowOff>30480</xdr:rowOff>
    </xdr:from>
    <xdr:to>
      <xdr:col>20</xdr:col>
      <xdr:colOff>396240</xdr:colOff>
      <xdr:row>4</xdr:row>
      <xdr:rowOff>22860</xdr:rowOff>
    </xdr:to>
    <xdr:sp macro="" textlink="">
      <xdr:nvSpPr>
        <xdr:cNvPr id="5" name="AutoShape 6">
          <a:extLst>
            <a:ext uri="{FF2B5EF4-FFF2-40B4-BE49-F238E27FC236}">
              <a16:creationId xmlns:a16="http://schemas.microsoft.com/office/drawing/2014/main" id="{2BB0228B-3327-4B07-918A-54B5EF650F52}"/>
            </a:ext>
          </a:extLst>
        </xdr:cNvPr>
        <xdr:cNvSpPr>
          <a:spLocks noChangeArrowheads="1"/>
        </xdr:cNvSpPr>
      </xdr:nvSpPr>
      <xdr:spPr bwMode="auto">
        <a:xfrm>
          <a:off x="11559541" y="30480"/>
          <a:ext cx="1264919" cy="678180"/>
        </a:xfrm>
        <a:prstGeom prst="wedgeRectCallout">
          <a:avLst>
            <a:gd name="adj1" fmla="val -44165"/>
            <a:gd name="adj2" fmla="val 100289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is for your Info:</a:t>
          </a:r>
          <a:endParaRPr lang="en-US" sz="9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Enter status on BC's.</a:t>
          </a:r>
        </a:p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Ex: "Ned"; </a:t>
          </a:r>
        </a:p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"Rcvd"</a:t>
          </a:r>
        </a:p>
      </xdr:txBody>
    </xdr:sp>
    <xdr:clientData/>
  </xdr:twoCellAnchor>
  <xdr:twoCellAnchor>
    <xdr:from>
      <xdr:col>15</xdr:col>
      <xdr:colOff>556261</xdr:colOff>
      <xdr:row>2</xdr:row>
      <xdr:rowOff>114301</xdr:rowOff>
    </xdr:from>
    <xdr:to>
      <xdr:col>17</xdr:col>
      <xdr:colOff>243841</xdr:colOff>
      <xdr:row>4</xdr:row>
      <xdr:rowOff>160021</xdr:rowOff>
    </xdr:to>
    <xdr:sp macro="" textlink="">
      <xdr:nvSpPr>
        <xdr:cNvPr id="8" name="AutoShape 3">
          <a:extLst>
            <a:ext uri="{FF2B5EF4-FFF2-40B4-BE49-F238E27FC236}">
              <a16:creationId xmlns:a16="http://schemas.microsoft.com/office/drawing/2014/main" id="{1AF2AE16-DE08-4529-8FA9-FFCFBF1F4579}"/>
            </a:ext>
          </a:extLst>
        </xdr:cNvPr>
        <xdr:cNvSpPr>
          <a:spLocks noChangeArrowheads="1"/>
        </xdr:cNvSpPr>
      </xdr:nvSpPr>
      <xdr:spPr bwMode="auto">
        <a:xfrm>
          <a:off x="10546081" y="449581"/>
          <a:ext cx="906780" cy="396240"/>
        </a:xfrm>
        <a:prstGeom prst="wedgeRectCallout">
          <a:avLst>
            <a:gd name="adj1" fmla="val -18767"/>
            <a:gd name="adj2" fmla="val 94798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</a:t>
          </a: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f Travel Player </a:t>
          </a:r>
        </a:p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Enter "X" in column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152400</xdr:rowOff>
    </xdr:from>
    <xdr:to>
      <xdr:col>12</xdr:col>
      <xdr:colOff>0</xdr:colOff>
      <xdr:row>5</xdr:row>
      <xdr:rowOff>65220</xdr:rowOff>
    </xdr:to>
    <xdr:sp macro="" textlink="">
      <xdr:nvSpPr>
        <xdr:cNvPr id="2050" name="AutoShape 2">
          <a:extLst>
            <a:ext uri="{FF2B5EF4-FFF2-40B4-BE49-F238E27FC236}">
              <a16:creationId xmlns:a16="http://schemas.microsoft.com/office/drawing/2014/main" id="{AF047B17-C45C-6C9B-4B8D-783BC1CF9E88}"/>
            </a:ext>
          </a:extLst>
        </xdr:cNvPr>
        <xdr:cNvSpPr>
          <a:spLocks noChangeArrowheads="1"/>
        </xdr:cNvSpPr>
      </xdr:nvSpPr>
      <xdr:spPr bwMode="auto">
        <a:xfrm>
          <a:off x="6675120" y="510540"/>
          <a:ext cx="0" cy="480060"/>
        </a:xfrm>
        <a:prstGeom prst="wedgeRectCallout">
          <a:avLst>
            <a:gd name="adj1" fmla="val -11111"/>
            <a:gd name="adj2" fmla="val 7692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If Free Agent -Enter "X" in column</a:t>
          </a:r>
        </a:p>
      </xdr:txBody>
    </xdr:sp>
    <xdr:clientData/>
  </xdr:twoCellAnchor>
  <xdr:twoCellAnchor>
    <xdr:from>
      <xdr:col>12</xdr:col>
      <xdr:colOff>0</xdr:colOff>
      <xdr:row>2</xdr:row>
      <xdr:rowOff>161925</xdr:rowOff>
    </xdr:from>
    <xdr:to>
      <xdr:col>12</xdr:col>
      <xdr:colOff>0</xdr:colOff>
      <xdr:row>5</xdr:row>
      <xdr:rowOff>65157</xdr:rowOff>
    </xdr:to>
    <xdr:sp macro="" textlink="">
      <xdr:nvSpPr>
        <xdr:cNvPr id="2051" name="AutoShape 3">
          <a:extLst>
            <a:ext uri="{FF2B5EF4-FFF2-40B4-BE49-F238E27FC236}">
              <a16:creationId xmlns:a16="http://schemas.microsoft.com/office/drawing/2014/main" id="{E75E110F-0D79-8ACF-E306-6E29834C2189}"/>
            </a:ext>
          </a:extLst>
        </xdr:cNvPr>
        <xdr:cNvSpPr>
          <a:spLocks noChangeArrowheads="1"/>
        </xdr:cNvSpPr>
      </xdr:nvSpPr>
      <xdr:spPr bwMode="auto">
        <a:xfrm>
          <a:off x="6675120" y="525780"/>
          <a:ext cx="0" cy="464820"/>
        </a:xfrm>
        <a:prstGeom prst="wedgeRectCallout">
          <a:avLst>
            <a:gd name="adj1" fmla="val 7574"/>
            <a:gd name="adj2" fmla="val 78000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If Need BC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Enter "X" in column</a:t>
          </a:r>
        </a:p>
      </xdr:txBody>
    </xdr:sp>
    <xdr:clientData/>
  </xdr:twoCellAnchor>
  <xdr:twoCellAnchor>
    <xdr:from>
      <xdr:col>12</xdr:col>
      <xdr:colOff>0</xdr:colOff>
      <xdr:row>47</xdr:row>
      <xdr:rowOff>95250</xdr:rowOff>
    </xdr:from>
    <xdr:to>
      <xdr:col>12</xdr:col>
      <xdr:colOff>0</xdr:colOff>
      <xdr:row>49</xdr:row>
      <xdr:rowOff>95250</xdr:rowOff>
    </xdr:to>
    <xdr:sp macro="" textlink="">
      <xdr:nvSpPr>
        <xdr:cNvPr id="2052" name="AutoShape 4">
          <a:extLst>
            <a:ext uri="{FF2B5EF4-FFF2-40B4-BE49-F238E27FC236}">
              <a16:creationId xmlns:a16="http://schemas.microsoft.com/office/drawing/2014/main" id="{407BB70D-93EF-52AE-8D8A-0EDCF173F3A4}"/>
            </a:ext>
          </a:extLst>
        </xdr:cNvPr>
        <xdr:cNvSpPr>
          <a:spLocks noChangeArrowheads="1"/>
        </xdr:cNvSpPr>
      </xdr:nvSpPr>
      <xdr:spPr bwMode="auto">
        <a:xfrm>
          <a:off x="6675120" y="8031480"/>
          <a:ext cx="0" cy="342900"/>
        </a:xfrm>
        <a:prstGeom prst="wedgeRectCallout">
          <a:avLst>
            <a:gd name="adj1" fmla="val -72968"/>
            <a:gd name="adj2" fmla="val 17648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Only the bottom of the roster for the free agent listing will have to be entered manually.</a:t>
          </a:r>
        </a:p>
      </xdr:txBody>
    </xdr:sp>
    <xdr:clientData/>
  </xdr:twoCellAnchor>
  <xdr:twoCellAnchor>
    <xdr:from>
      <xdr:col>12</xdr:col>
      <xdr:colOff>0</xdr:colOff>
      <xdr:row>2</xdr:row>
      <xdr:rowOff>102870</xdr:rowOff>
    </xdr:from>
    <xdr:to>
      <xdr:col>12</xdr:col>
      <xdr:colOff>0</xdr:colOff>
      <xdr:row>5</xdr:row>
      <xdr:rowOff>2310</xdr:rowOff>
    </xdr:to>
    <xdr:sp macro="" textlink="">
      <xdr:nvSpPr>
        <xdr:cNvPr id="2053" name="AutoShape 5">
          <a:extLst>
            <a:ext uri="{FF2B5EF4-FFF2-40B4-BE49-F238E27FC236}">
              <a16:creationId xmlns:a16="http://schemas.microsoft.com/office/drawing/2014/main" id="{EA2A6EED-B647-F136-C632-6C80CC1B8472}"/>
            </a:ext>
          </a:extLst>
        </xdr:cNvPr>
        <xdr:cNvSpPr>
          <a:spLocks noChangeArrowheads="1"/>
        </xdr:cNvSpPr>
      </xdr:nvSpPr>
      <xdr:spPr bwMode="auto">
        <a:xfrm>
          <a:off x="6675120" y="464820"/>
          <a:ext cx="0" cy="480060"/>
        </a:xfrm>
        <a:prstGeom prst="wedgeRectCallout">
          <a:avLst>
            <a:gd name="adj1" fmla="val -50000"/>
            <a:gd name="adj2" fmla="val 89218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is for you to enter status on BC's.</a:t>
          </a: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Ex: "Need"; "Rcvd"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J:\Documents\Documents\Local%20Settings\Temporary%20Internet%20Files\Content.IE5\Assoc04Dbase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ASHLEYGUILD.VA@GMAIL.COM" TargetMode="External"/><Relationship Id="rId13" Type="http://schemas.openxmlformats.org/officeDocument/2006/relationships/hyperlink" Target="mailto:RLANE2763@GMAIL.COM" TargetMode="External"/><Relationship Id="rId18" Type="http://schemas.openxmlformats.org/officeDocument/2006/relationships/comments" Target="../comments2.xml"/><Relationship Id="rId3" Type="http://schemas.openxmlformats.org/officeDocument/2006/relationships/hyperlink" Target="mailto:KEVIN_TUCKER@CCPSNET.NET" TargetMode="External"/><Relationship Id="rId7" Type="http://schemas.openxmlformats.org/officeDocument/2006/relationships/hyperlink" Target="mailto:CONNEREG@YAHOO.COM" TargetMode="External"/><Relationship Id="rId12" Type="http://schemas.openxmlformats.org/officeDocument/2006/relationships/hyperlink" Target="mailto:KSLOAN85@AOL.COM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mailto:MSHERRILL284@GMAIL.COM" TargetMode="External"/><Relationship Id="rId16" Type="http://schemas.openxmlformats.org/officeDocument/2006/relationships/drawing" Target="../drawings/drawing2.xml"/><Relationship Id="rId1" Type="http://schemas.openxmlformats.org/officeDocument/2006/relationships/hyperlink" Target="mailto:JDC0120@GMAIL.COM" TargetMode="External"/><Relationship Id="rId6" Type="http://schemas.openxmlformats.org/officeDocument/2006/relationships/hyperlink" Target="mailto:DPVOROS1@GMAIL.COM" TargetMode="External"/><Relationship Id="rId11" Type="http://schemas.openxmlformats.org/officeDocument/2006/relationships/hyperlink" Target="mailto:BMCPARKER82@GMAIL.COM" TargetMode="External"/><Relationship Id="rId5" Type="http://schemas.openxmlformats.org/officeDocument/2006/relationships/hyperlink" Target="mailto:EDDIEFISCH@GMAIL.COM" TargetMode="External"/><Relationship Id="rId15" Type="http://schemas.openxmlformats.org/officeDocument/2006/relationships/hyperlink" Target="mailto:BMCPARKER82@GMAIL.COM" TargetMode="External"/><Relationship Id="rId10" Type="http://schemas.openxmlformats.org/officeDocument/2006/relationships/hyperlink" Target="mailto:GREGT7878@GMAIL.COM" TargetMode="External"/><Relationship Id="rId4" Type="http://schemas.openxmlformats.org/officeDocument/2006/relationships/hyperlink" Target="mailto:RLANE2763@GMAIL.COM" TargetMode="External"/><Relationship Id="rId9" Type="http://schemas.openxmlformats.org/officeDocument/2006/relationships/hyperlink" Target="mailto:TRAVISWBOWLING@GMAIL.COM" TargetMode="External"/><Relationship Id="rId14" Type="http://schemas.openxmlformats.org/officeDocument/2006/relationships/hyperlink" Target="mailto:KEVIN_TUCKER@CCPSNET.N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BF2E-9A66-4F4C-9E13-49107E46AA31}">
  <sheetPr codeName="Sheet2"/>
  <dimension ref="A1:L52"/>
  <sheetViews>
    <sheetView workbookViewId="0">
      <selection activeCell="A9" sqref="A9"/>
    </sheetView>
  </sheetViews>
  <sheetFormatPr defaultRowHeight="12.75" x14ac:dyDescent="0.2"/>
  <cols>
    <col min="1" max="1" width="11" customWidth="1"/>
    <col min="2" max="2" width="10.85546875" customWidth="1"/>
    <col min="3" max="3" width="6.42578125" customWidth="1"/>
    <col min="4" max="4" width="7.5703125" customWidth="1"/>
    <col min="5" max="5" width="8" customWidth="1"/>
    <col min="6" max="6" width="5.140625" customWidth="1"/>
    <col min="7" max="7" width="5.5703125" customWidth="1"/>
    <col min="8" max="8" width="10.140625" customWidth="1"/>
    <col min="9" max="9" width="11.85546875" customWidth="1"/>
    <col min="12" max="12" width="6.5703125" customWidth="1"/>
  </cols>
  <sheetData>
    <row r="1" spans="1:12" x14ac:dyDescent="0.2">
      <c r="A1" s="71" t="s">
        <v>112</v>
      </c>
      <c r="H1" s="87" t="s">
        <v>68</v>
      </c>
    </row>
    <row r="2" spans="1:12" s="4" customFormat="1" ht="12" x14ac:dyDescent="0.2"/>
    <row r="3" spans="1:12" s="4" customFormat="1" ht="12" x14ac:dyDescent="0.2">
      <c r="A3" s="4" t="s">
        <v>124</v>
      </c>
    </row>
    <row r="4" spans="1:12" s="4" customFormat="1" ht="12" x14ac:dyDescent="0.2">
      <c r="A4" s="4" t="s">
        <v>78</v>
      </c>
    </row>
    <row r="5" spans="1:12" s="4" customFormat="1" ht="12" x14ac:dyDescent="0.2">
      <c r="A5" s="4" t="s">
        <v>125</v>
      </c>
      <c r="C5" s="102" t="s">
        <v>126</v>
      </c>
    </row>
    <row r="6" spans="1:12" s="4" customFormat="1" ht="12" x14ac:dyDescent="0.2">
      <c r="A6" s="4" t="s">
        <v>127</v>
      </c>
      <c r="F6" s="81"/>
      <c r="J6" s="84" t="s">
        <v>110</v>
      </c>
    </row>
    <row r="7" spans="1:12" s="4" customFormat="1" ht="12" x14ac:dyDescent="0.2">
      <c r="A7" s="4" t="s">
        <v>79</v>
      </c>
      <c r="E7" s="4" t="s">
        <v>77</v>
      </c>
    </row>
    <row r="8" spans="1:12" s="4" customFormat="1" ht="12" x14ac:dyDescent="0.2"/>
    <row r="9" spans="1:12" s="4" customFormat="1" ht="12" x14ac:dyDescent="0.2">
      <c r="A9" s="72" t="s">
        <v>95</v>
      </c>
      <c r="B9" s="68"/>
      <c r="C9" s="59"/>
      <c r="D9" s="59"/>
      <c r="E9" s="59"/>
      <c r="F9" s="59"/>
      <c r="G9" s="59"/>
      <c r="H9" s="59"/>
      <c r="I9" s="59"/>
      <c r="J9" s="59"/>
      <c r="K9" s="59"/>
      <c r="L9" s="60"/>
    </row>
    <row r="10" spans="1:12" s="4" customFormat="1" ht="12" x14ac:dyDescent="0.2">
      <c r="A10" s="61" t="s">
        <v>109</v>
      </c>
      <c r="H10" s="82" t="s">
        <v>66</v>
      </c>
      <c r="I10" s="80" t="s">
        <v>80</v>
      </c>
      <c r="J10" s="80" t="s">
        <v>70</v>
      </c>
      <c r="K10" s="83" t="s">
        <v>67</v>
      </c>
      <c r="L10" s="65"/>
    </row>
    <row r="11" spans="1:12" s="4" customFormat="1" ht="12" x14ac:dyDescent="0.2">
      <c r="A11" s="61"/>
      <c r="H11" s="62"/>
      <c r="I11" s="63"/>
      <c r="J11" s="63"/>
      <c r="K11" s="64"/>
      <c r="L11" s="65"/>
    </row>
    <row r="12" spans="1:12" s="4" customFormat="1" ht="12" x14ac:dyDescent="0.2">
      <c r="A12" s="61" t="s">
        <v>87</v>
      </c>
      <c r="C12" s="79" t="s">
        <v>51</v>
      </c>
      <c r="D12" s="5" t="s">
        <v>86</v>
      </c>
      <c r="E12" s="85" t="str">
        <f>'Data Entry'!O7</f>
        <v>BC</v>
      </c>
      <c r="F12" s="4" t="s">
        <v>111</v>
      </c>
      <c r="L12" s="65"/>
    </row>
    <row r="13" spans="1:12" s="4" customFormat="1" ht="12" x14ac:dyDescent="0.2">
      <c r="A13" s="61"/>
      <c r="C13" s="31" t="s">
        <v>65</v>
      </c>
      <c r="E13" s="86">
        <f>'Data Entry'!O8</f>
        <v>0</v>
      </c>
      <c r="L13" s="65"/>
    </row>
    <row r="14" spans="1:12" s="4" customFormat="1" ht="12" x14ac:dyDescent="0.2">
      <c r="A14" s="61"/>
      <c r="L14" s="65"/>
    </row>
    <row r="15" spans="1:12" s="4" customFormat="1" ht="12" x14ac:dyDescent="0.2">
      <c r="A15" s="61"/>
      <c r="L15" s="65"/>
    </row>
    <row r="16" spans="1:12" s="4" customFormat="1" ht="12" x14ac:dyDescent="0.2">
      <c r="A16" s="61"/>
      <c r="L16" s="65"/>
    </row>
    <row r="17" spans="1:12" s="4" customFormat="1" ht="12" x14ac:dyDescent="0.2">
      <c r="A17" s="61" t="s">
        <v>97</v>
      </c>
      <c r="K17" s="57" t="s">
        <v>71</v>
      </c>
      <c r="L17" s="65"/>
    </row>
    <row r="18" spans="1:12" s="4" customFormat="1" x14ac:dyDescent="0.2">
      <c r="A18" s="61"/>
      <c r="K18" s="33">
        <v>33</v>
      </c>
      <c r="L18" s="65"/>
    </row>
    <row r="19" spans="1:12" s="4" customFormat="1" x14ac:dyDescent="0.2">
      <c r="A19" s="61" t="s">
        <v>83</v>
      </c>
      <c r="E19" s="27" t="s">
        <v>128</v>
      </c>
      <c r="F19" s="5" t="s">
        <v>82</v>
      </c>
      <c r="G19" s="57" t="s">
        <v>9</v>
      </c>
      <c r="H19" s="4" t="s">
        <v>84</v>
      </c>
      <c r="J19" s="145" t="s">
        <v>85</v>
      </c>
      <c r="L19" s="65"/>
    </row>
    <row r="20" spans="1:12" s="4" customFormat="1" ht="12" x14ac:dyDescent="0.2">
      <c r="A20" s="61"/>
      <c r="E20" s="58" t="s">
        <v>43</v>
      </c>
      <c r="F20" s="5"/>
      <c r="G20" s="58" t="s">
        <v>22</v>
      </c>
      <c r="J20" s="63"/>
      <c r="L20" s="65"/>
    </row>
    <row r="21" spans="1:12" s="4" customFormat="1" ht="12" x14ac:dyDescent="0.2">
      <c r="A21" s="61" t="s">
        <v>81</v>
      </c>
      <c r="B21" s="57" t="s">
        <v>4</v>
      </c>
      <c r="C21" s="4" t="s">
        <v>88</v>
      </c>
      <c r="D21" s="4" t="s">
        <v>89</v>
      </c>
      <c r="L21" s="65"/>
    </row>
    <row r="22" spans="1:12" s="4" customFormat="1" ht="12" x14ac:dyDescent="0.2">
      <c r="A22" s="61"/>
      <c r="B22" s="14">
        <v>1</v>
      </c>
      <c r="D22" s="4" t="s">
        <v>90</v>
      </c>
      <c r="L22" s="65"/>
    </row>
    <row r="23" spans="1:12" s="4" customFormat="1" ht="12" x14ac:dyDescent="0.2">
      <c r="A23" s="61"/>
      <c r="D23" s="4" t="s">
        <v>93</v>
      </c>
      <c r="L23" s="65"/>
    </row>
    <row r="24" spans="1:12" s="4" customFormat="1" ht="12" x14ac:dyDescent="0.2">
      <c r="A24" s="61"/>
      <c r="L24" s="65"/>
    </row>
    <row r="25" spans="1:12" s="4" customFormat="1" ht="12" x14ac:dyDescent="0.2">
      <c r="A25" s="73" t="s">
        <v>72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74"/>
    </row>
    <row r="26" spans="1:12" s="4" customFormat="1" ht="12" x14ac:dyDescent="0.2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</row>
    <row r="27" spans="1:12" s="4" customFormat="1" ht="12" x14ac:dyDescent="0.2">
      <c r="A27" s="72" t="s">
        <v>96</v>
      </c>
      <c r="B27" s="68"/>
      <c r="C27" s="59"/>
      <c r="D27" s="59"/>
      <c r="E27" s="59"/>
      <c r="F27" s="59"/>
      <c r="G27" s="59"/>
      <c r="H27" s="59"/>
      <c r="I27" s="59"/>
      <c r="J27" s="59"/>
      <c r="K27" s="59"/>
      <c r="L27" s="60"/>
    </row>
    <row r="28" spans="1:12" s="4" customFormat="1" ht="12" x14ac:dyDescent="0.2">
      <c r="A28" s="61" t="s">
        <v>94</v>
      </c>
      <c r="H28" s="66" t="s">
        <v>69</v>
      </c>
      <c r="K28" s="80"/>
      <c r="L28" s="65"/>
    </row>
    <row r="29" spans="1:12" s="4" customFormat="1" ht="12" x14ac:dyDescent="0.2">
      <c r="F29" s="64"/>
      <c r="L29" s="65"/>
    </row>
    <row r="30" spans="1:12" s="4" customFormat="1" x14ac:dyDescent="0.2">
      <c r="A30" s="76" t="s">
        <v>91</v>
      </c>
      <c r="B30" s="4" t="s">
        <v>101</v>
      </c>
      <c r="F30" s="69" t="s">
        <v>16</v>
      </c>
      <c r="I30" s="4" t="s">
        <v>92</v>
      </c>
      <c r="L30" s="65"/>
    </row>
    <row r="31" spans="1:12" s="4" customFormat="1" ht="12" x14ac:dyDescent="0.2">
      <c r="A31" s="73"/>
      <c r="B31" s="8"/>
      <c r="C31" s="8"/>
      <c r="D31" s="8"/>
      <c r="E31" s="77"/>
      <c r="F31" s="77"/>
      <c r="G31" s="8"/>
      <c r="H31" s="8"/>
      <c r="I31" s="8"/>
      <c r="J31" s="8"/>
      <c r="K31" s="8"/>
      <c r="L31" s="74"/>
    </row>
    <row r="32" spans="1:12" s="4" customFormat="1" ht="12" x14ac:dyDescent="0.2">
      <c r="A32" s="75"/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</row>
    <row r="33" spans="1:12" s="4" customFormat="1" ht="12" x14ac:dyDescent="0.2">
      <c r="A33" s="67" t="s">
        <v>98</v>
      </c>
      <c r="B33" s="68"/>
      <c r="C33" s="59"/>
      <c r="D33" s="59"/>
      <c r="E33" s="59"/>
      <c r="F33" s="59"/>
      <c r="G33" s="59"/>
      <c r="H33" s="59"/>
      <c r="I33" s="59"/>
      <c r="J33" s="59"/>
      <c r="K33" s="59"/>
      <c r="L33" s="60"/>
    </row>
    <row r="34" spans="1:12" s="4" customFormat="1" x14ac:dyDescent="0.2">
      <c r="A34" s="76" t="s">
        <v>91</v>
      </c>
      <c r="B34" s="4" t="s">
        <v>102</v>
      </c>
      <c r="G34" s="69" t="s">
        <v>73</v>
      </c>
      <c r="L34" s="65"/>
    </row>
    <row r="35" spans="1:12" s="4" customFormat="1" ht="12" x14ac:dyDescent="0.2">
      <c r="A35" s="61"/>
      <c r="B35" s="4" t="s">
        <v>106</v>
      </c>
      <c r="F35" s="64"/>
      <c r="L35" s="65"/>
    </row>
    <row r="36" spans="1:12" s="4" customFormat="1" ht="12" x14ac:dyDescent="0.2">
      <c r="A36" s="73"/>
      <c r="B36" s="8"/>
      <c r="C36" s="8"/>
      <c r="D36" s="8"/>
      <c r="E36" s="8"/>
      <c r="F36" s="77"/>
      <c r="G36" s="8"/>
      <c r="H36" s="8"/>
      <c r="I36" s="8"/>
      <c r="J36" s="8"/>
      <c r="K36" s="8"/>
      <c r="L36" s="74"/>
    </row>
    <row r="37" spans="1:12" s="4" customFormat="1" ht="12" x14ac:dyDescent="0.2">
      <c r="F37" s="64"/>
    </row>
    <row r="38" spans="1:12" s="4" customFormat="1" ht="12" x14ac:dyDescent="0.2">
      <c r="A38" s="4" t="s">
        <v>107</v>
      </c>
    </row>
    <row r="39" spans="1:12" s="4" customFormat="1" ht="12" x14ac:dyDescent="0.2">
      <c r="A39" s="4" t="s">
        <v>103</v>
      </c>
    </row>
    <row r="40" spans="1:12" s="4" customFormat="1" ht="12" x14ac:dyDescent="0.2"/>
    <row r="41" spans="1:12" s="4" customFormat="1" ht="12" x14ac:dyDescent="0.2">
      <c r="A41" s="4" t="s">
        <v>104</v>
      </c>
    </row>
    <row r="42" spans="1:12" s="4" customFormat="1" ht="12" x14ac:dyDescent="0.2"/>
    <row r="43" spans="1:12" s="4" customFormat="1" ht="12" x14ac:dyDescent="0.2">
      <c r="A43" s="4" t="s">
        <v>105</v>
      </c>
    </row>
    <row r="44" spans="1:12" s="4" customFormat="1" ht="12" x14ac:dyDescent="0.2"/>
    <row r="45" spans="1:12" s="4" customFormat="1" ht="12" x14ac:dyDescent="0.2">
      <c r="A45" s="4" t="s">
        <v>49</v>
      </c>
    </row>
    <row r="46" spans="1:12" s="4" customFormat="1" ht="12" x14ac:dyDescent="0.2"/>
    <row r="47" spans="1:12" s="4" customFormat="1" ht="12" x14ac:dyDescent="0.2">
      <c r="A47" s="78" t="s">
        <v>48</v>
      </c>
      <c r="B47" s="4" t="s">
        <v>99</v>
      </c>
    </row>
    <row r="48" spans="1:12" s="4" customFormat="1" ht="12" x14ac:dyDescent="0.2">
      <c r="B48" s="4" t="s">
        <v>100</v>
      </c>
    </row>
    <row r="49" spans="2:2" s="4" customFormat="1" ht="12" x14ac:dyDescent="0.2"/>
    <row r="50" spans="2:2" s="4" customFormat="1" ht="12" x14ac:dyDescent="0.2"/>
    <row r="52" spans="2:2" x14ac:dyDescent="0.2">
      <c r="B52" s="87"/>
    </row>
  </sheetData>
  <phoneticPr fontId="2" type="noConversion"/>
  <hyperlinks>
    <hyperlink ref="H10" location="Association" display="Association" xr:uid="{62379408-0796-4281-8B8D-34C0FB3C5CA6}"/>
    <hyperlink ref="I10" location="League" display="   League" xr:uid="{6E1E4FAD-2916-44F9-81FB-26B0BB5C547A}"/>
    <hyperlink ref="J10" location="Year" display="Year." xr:uid="{5558211B-5823-43EE-9FD3-FB98450161EB}"/>
    <hyperlink ref="K10" location="Data_Entry" display="Data Entry" xr:uid="{214FDA30-A359-40B1-90D1-BBECAA8CE331}"/>
    <hyperlink ref="H28" location="Free_Agents" display="Free Agents" xr:uid="{80CA11F8-CFA0-4783-94F7-75590ED714FC}"/>
    <hyperlink ref="K17" location="Data_Entry" display="Unif_#" xr:uid="{14CB0951-A7FE-4FDA-812F-16E08D47B41A}"/>
    <hyperlink ref="F30" location="PrevAssoc" display="Previous Association" xr:uid="{2F430116-C8CF-414C-BA56-CCC9F36C6E2C}"/>
    <hyperlink ref="G34" location="Mgr_Coach" display="Manager and Coaches" xr:uid="{59161746-64AF-4348-A0DC-DA7AF12CC3E6}"/>
    <hyperlink ref="G19" location="FA" display="FA" xr:uid="{B5F0AB53-0B8F-4CD8-8E17-F8C98C0B77B6}"/>
    <hyperlink ref="J19" location="FA" display="See Notes" xr:uid="{80F78B42-BE60-4A06-B239-863B3DE5A3BA}"/>
    <hyperlink ref="A33" location="Mgr_Coach" display="Bottom of Data Entry form" xr:uid="{D2832838-C8B9-4494-9741-2D09395DD9D2}"/>
    <hyperlink ref="A9" location="Data_Entry" display="Top of Data Entry form." xr:uid="{2885EC0D-FAA9-4AD9-8593-9296AC026806}"/>
    <hyperlink ref="A27" location="Free_Agents" display="Middle of Data Entry form" xr:uid="{0C0CD1D1-4CB6-4CE5-84DC-8735E2DEE45C}"/>
    <hyperlink ref="C12" location="FNAME" display="FNAME" xr:uid="{4AB54BB0-C73D-42FB-929D-FBBDA1226CA8}"/>
    <hyperlink ref="B21" location="Player" display="Player" xr:uid="{3E87F97D-3F98-43EE-8997-60BE807C3701}"/>
    <hyperlink ref="E12" location="CONTROL" display="CONTROL" xr:uid="{E84B2F44-B6A9-4CDE-B23D-C710445CF335}"/>
    <hyperlink ref="J6" location="Data_Entry" display=" Data Entry" xr:uid="{BD3DF4E7-7EC4-412D-AC52-5E9328B2F3A4}"/>
    <hyperlink ref="H1" r:id="rId1" location="Instructions!A1" xr:uid="{BFB9D896-69A5-496C-8DF1-10DB2AF6549E}"/>
  </hyperlinks>
  <printOptions horizontalCentered="1"/>
  <pageMargins left="0.25" right="0.25" top="0.75" bottom="0.5" header="0.5" footer="0.5"/>
  <pageSetup orientation="portrait" r:id="rId2"/>
  <headerFooter alignWithMargins="0">
    <oddHeader>&amp;L&amp;"Arial,Bold"&amp;F&amp;C&amp;"Arial,Bold"&amp;A&amp;R&amp;"Arial,Bold"Page &amp;P</oddHead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57E92-2E2E-4A66-9189-9ADC55631192}">
  <dimension ref="A1:W53"/>
  <sheetViews>
    <sheetView workbookViewId="0">
      <selection activeCell="E43" sqref="E43"/>
    </sheetView>
  </sheetViews>
  <sheetFormatPr defaultRowHeight="12.75" x14ac:dyDescent="0.2"/>
  <cols>
    <col min="2" max="2" width="7.85546875" customWidth="1"/>
    <col min="3" max="3" width="11.140625" customWidth="1"/>
    <col min="4" max="4" width="11" customWidth="1"/>
    <col min="5" max="5" width="12.140625" customWidth="1"/>
    <col min="6" max="6" width="17.140625" customWidth="1"/>
    <col min="7" max="7" width="14.5703125" customWidth="1"/>
    <col min="10" max="10" width="11" bestFit="1" customWidth="1"/>
    <col min="11" max="11" width="10.140625" bestFit="1" customWidth="1"/>
    <col min="13" max="13" width="11.140625" customWidth="1"/>
    <col min="19" max="19" width="11.5703125" customWidth="1"/>
  </cols>
  <sheetData>
    <row r="1" spans="1:21" x14ac:dyDescent="0.2">
      <c r="A1" s="54" t="s">
        <v>44</v>
      </c>
      <c r="B1" s="23" t="s">
        <v>108</v>
      </c>
      <c r="C1" s="20"/>
      <c r="D1" s="20"/>
      <c r="E1" s="56"/>
      <c r="F1" s="20"/>
      <c r="G1" s="20"/>
      <c r="H1" s="21"/>
      <c r="I1" s="21"/>
      <c r="J1" s="20"/>
      <c r="K1" s="24"/>
      <c r="L1" s="21"/>
      <c r="M1" s="146">
        <v>45777</v>
      </c>
      <c r="N1" s="6"/>
      <c r="O1" s="6"/>
      <c r="P1" s="7"/>
      <c r="Q1" s="6"/>
      <c r="R1" s="6"/>
      <c r="S1" s="6"/>
      <c r="T1" s="7"/>
    </row>
    <row r="2" spans="1:21" x14ac:dyDescent="0.2">
      <c r="B2" s="78" t="s">
        <v>130</v>
      </c>
      <c r="C2" s="6"/>
      <c r="D2" s="6"/>
      <c r="E2" s="6"/>
      <c r="F2" s="6"/>
      <c r="G2" s="6"/>
      <c r="H2" s="7"/>
      <c r="I2" s="7"/>
      <c r="J2" s="6"/>
      <c r="K2" s="10"/>
      <c r="L2" s="7"/>
      <c r="M2" s="6"/>
      <c r="N2" s="6"/>
      <c r="O2" s="6"/>
      <c r="P2" s="7"/>
      <c r="Q2" s="6"/>
      <c r="R2" s="6"/>
      <c r="S2" s="6"/>
      <c r="T2" s="7"/>
    </row>
    <row r="3" spans="1:21" ht="13.5" thickBot="1" x14ac:dyDescent="0.25">
      <c r="A3" s="55" t="s">
        <v>74</v>
      </c>
      <c r="B3" s="188" t="s">
        <v>135</v>
      </c>
      <c r="D3" s="22" t="s">
        <v>59</v>
      </c>
      <c r="E3" s="171"/>
      <c r="G3" s="6"/>
      <c r="H3" s="7"/>
      <c r="I3" s="7"/>
      <c r="J3" s="6"/>
      <c r="K3" s="10"/>
      <c r="L3" s="7"/>
      <c r="M3" s="6"/>
      <c r="N3" s="6"/>
      <c r="O3" s="6"/>
      <c r="P3" s="7"/>
      <c r="Q3" s="6"/>
      <c r="R3" s="6"/>
      <c r="S3" s="6"/>
      <c r="T3" s="7"/>
    </row>
    <row r="4" spans="1:21" ht="13.5" thickBot="1" x14ac:dyDescent="0.25">
      <c r="A4" s="55" t="s">
        <v>75</v>
      </c>
      <c r="B4" s="182" t="s">
        <v>203</v>
      </c>
      <c r="D4" s="172">
        <v>45777</v>
      </c>
      <c r="E4" s="171"/>
      <c r="G4" s="6"/>
      <c r="H4" s="7"/>
      <c r="I4" s="7"/>
      <c r="J4" s="6"/>
      <c r="K4" s="22"/>
      <c r="L4" s="19"/>
      <c r="M4" s="6"/>
      <c r="N4" s="6"/>
      <c r="O4" s="6"/>
      <c r="P4" s="7"/>
      <c r="Q4" s="6"/>
      <c r="R4" s="6"/>
      <c r="S4" s="6"/>
      <c r="T4" s="7"/>
    </row>
    <row r="5" spans="1:21" x14ac:dyDescent="0.2">
      <c r="A5" s="55" t="s">
        <v>76</v>
      </c>
      <c r="B5" s="88">
        <v>2025</v>
      </c>
      <c r="E5" s="6"/>
      <c r="F5" s="6"/>
      <c r="G5" s="6"/>
      <c r="H5" s="7"/>
      <c r="I5" s="7"/>
      <c r="J5" s="89"/>
      <c r="K5" s="22"/>
      <c r="L5" s="18"/>
      <c r="M5" s="6"/>
      <c r="N5" s="190"/>
      <c r="O5" s="6"/>
      <c r="P5" s="7"/>
      <c r="Q5" s="6"/>
      <c r="R5" s="6"/>
      <c r="S5" s="6"/>
      <c r="T5" s="7"/>
    </row>
    <row r="6" spans="1:21" x14ac:dyDescent="0.2">
      <c r="B6" s="13"/>
      <c r="C6" s="3"/>
      <c r="D6" s="3"/>
      <c r="E6" s="3"/>
      <c r="F6" s="3"/>
      <c r="G6" s="3"/>
      <c r="H6" s="2"/>
      <c r="I6" s="2"/>
      <c r="J6" s="3"/>
      <c r="K6" s="12"/>
      <c r="L6" s="2"/>
      <c r="M6" s="6"/>
      <c r="N6" s="191"/>
      <c r="O6" s="6"/>
      <c r="P6" s="2"/>
      <c r="Q6" s="3"/>
      <c r="R6" s="3"/>
      <c r="S6" s="3"/>
      <c r="T6" s="180" t="s">
        <v>116</v>
      </c>
    </row>
    <row r="7" spans="1:21" ht="23.25" thickBot="1" x14ac:dyDescent="0.25">
      <c r="A7" s="162" t="s">
        <v>4</v>
      </c>
      <c r="B7" s="26" t="s">
        <v>62</v>
      </c>
      <c r="C7" s="27" t="s">
        <v>51</v>
      </c>
      <c r="D7" s="27" t="s">
        <v>52</v>
      </c>
      <c r="E7" s="27" t="s">
        <v>53</v>
      </c>
      <c r="F7" s="27" t="s">
        <v>54</v>
      </c>
      <c r="G7" s="27" t="s">
        <v>55</v>
      </c>
      <c r="H7" s="28" t="s">
        <v>56</v>
      </c>
      <c r="I7" s="28" t="s">
        <v>57</v>
      </c>
      <c r="J7" s="27" t="s">
        <v>50</v>
      </c>
      <c r="K7" s="196" t="s">
        <v>131</v>
      </c>
      <c r="L7" s="28" t="s">
        <v>58</v>
      </c>
      <c r="M7" s="28" t="s">
        <v>60</v>
      </c>
      <c r="N7" s="30" t="s">
        <v>117</v>
      </c>
      <c r="O7" s="28" t="s">
        <v>8</v>
      </c>
      <c r="P7" s="183" t="s">
        <v>119</v>
      </c>
      <c r="Q7" s="184" t="s">
        <v>129</v>
      </c>
      <c r="R7" s="27" t="s">
        <v>128</v>
      </c>
      <c r="S7" s="203" t="s">
        <v>133</v>
      </c>
      <c r="T7" s="197" t="s">
        <v>132</v>
      </c>
      <c r="U7" s="151"/>
    </row>
    <row r="8" spans="1:21" x14ac:dyDescent="0.2">
      <c r="A8" s="163">
        <v>1</v>
      </c>
      <c r="B8" s="33" t="s">
        <v>134</v>
      </c>
      <c r="C8" s="33" t="s">
        <v>136</v>
      </c>
      <c r="D8" s="33" t="s">
        <v>137</v>
      </c>
      <c r="E8" s="33" t="s">
        <v>138</v>
      </c>
      <c r="F8" s="165" t="s">
        <v>139</v>
      </c>
      <c r="G8" s="165" t="s">
        <v>140</v>
      </c>
      <c r="H8" s="165" t="s">
        <v>141</v>
      </c>
      <c r="I8" s="33">
        <v>23836</v>
      </c>
      <c r="J8" s="165">
        <v>8047319723</v>
      </c>
      <c r="K8" s="167">
        <v>42656</v>
      </c>
      <c r="L8" s="33">
        <v>8</v>
      </c>
      <c r="M8" s="33" t="s">
        <v>135</v>
      </c>
      <c r="N8" s="33"/>
      <c r="O8" s="33"/>
      <c r="P8" s="33"/>
      <c r="Q8" s="165"/>
      <c r="R8" s="165"/>
      <c r="S8" s="205" t="s">
        <v>142</v>
      </c>
      <c r="T8" s="181">
        <f t="shared" ref="T8:T22" si="0">IF(L8&gt;1,DATEDIF(K8,$M$1,"y"),"")</f>
        <v>8</v>
      </c>
      <c r="U8" s="147">
        <v>1</v>
      </c>
    </row>
    <row r="9" spans="1:21" x14ac:dyDescent="0.2">
      <c r="A9" s="163">
        <v>2</v>
      </c>
      <c r="B9" s="33"/>
      <c r="C9" s="33" t="s">
        <v>143</v>
      </c>
      <c r="D9" s="33" t="s">
        <v>144</v>
      </c>
      <c r="E9" s="33" t="s">
        <v>145</v>
      </c>
      <c r="F9" s="165" t="s">
        <v>146</v>
      </c>
      <c r="G9" s="165" t="s">
        <v>140</v>
      </c>
      <c r="H9" s="165" t="s">
        <v>141</v>
      </c>
      <c r="I9" s="33">
        <v>23836</v>
      </c>
      <c r="J9" s="165">
        <v>8043897008</v>
      </c>
      <c r="K9" s="167">
        <v>42804</v>
      </c>
      <c r="L9" s="33">
        <v>8</v>
      </c>
      <c r="M9" s="33" t="s">
        <v>135</v>
      </c>
      <c r="N9" s="33"/>
      <c r="O9" s="165"/>
      <c r="P9" s="33"/>
      <c r="Q9" s="33"/>
      <c r="R9" s="33"/>
      <c r="S9" s="205" t="s">
        <v>147</v>
      </c>
      <c r="T9" s="181">
        <f t="shared" si="0"/>
        <v>8</v>
      </c>
      <c r="U9" s="147">
        <v>2</v>
      </c>
    </row>
    <row r="10" spans="1:21" x14ac:dyDescent="0.2">
      <c r="A10" s="163">
        <v>3</v>
      </c>
      <c r="B10" s="33"/>
      <c r="C10" s="165" t="s">
        <v>148</v>
      </c>
      <c r="D10" s="165" t="s">
        <v>135</v>
      </c>
      <c r="E10" s="165" t="s">
        <v>149</v>
      </c>
      <c r="F10" s="165" t="s">
        <v>150</v>
      </c>
      <c r="G10" s="165" t="s">
        <v>140</v>
      </c>
      <c r="H10" s="165" t="s">
        <v>141</v>
      </c>
      <c r="I10" s="33">
        <v>23836</v>
      </c>
      <c r="J10" s="165">
        <v>8046911435</v>
      </c>
      <c r="K10" s="166">
        <v>42841</v>
      </c>
      <c r="L10" s="33">
        <v>8</v>
      </c>
      <c r="M10" s="165" t="s">
        <v>135</v>
      </c>
      <c r="N10" s="33"/>
      <c r="O10" s="165"/>
      <c r="P10" s="165"/>
      <c r="Q10" s="165"/>
      <c r="R10" s="165"/>
      <c r="S10" s="205" t="s">
        <v>151</v>
      </c>
      <c r="T10" s="181">
        <f t="shared" si="0"/>
        <v>8</v>
      </c>
      <c r="U10" s="147">
        <v>3</v>
      </c>
    </row>
    <row r="11" spans="1:21" x14ac:dyDescent="0.2">
      <c r="A11" s="163">
        <v>4</v>
      </c>
      <c r="B11" s="33"/>
      <c r="C11" s="165" t="s">
        <v>152</v>
      </c>
      <c r="D11" s="33" t="s">
        <v>153</v>
      </c>
      <c r="E11" s="165" t="s">
        <v>154</v>
      </c>
      <c r="F11" s="165" t="s">
        <v>155</v>
      </c>
      <c r="G11" s="165" t="s">
        <v>140</v>
      </c>
      <c r="H11" s="165" t="s">
        <v>141</v>
      </c>
      <c r="I11" s="33">
        <v>23836</v>
      </c>
      <c r="J11" s="165">
        <v>8042523880</v>
      </c>
      <c r="K11" s="166">
        <v>42573</v>
      </c>
      <c r="L11" s="33">
        <v>8</v>
      </c>
      <c r="M11" s="33" t="s">
        <v>135</v>
      </c>
      <c r="N11" s="33"/>
      <c r="O11" s="165"/>
      <c r="P11" s="33"/>
      <c r="Q11" s="33"/>
      <c r="R11" s="33"/>
      <c r="S11" s="205" t="s">
        <v>156</v>
      </c>
      <c r="T11" s="181">
        <f t="shared" si="0"/>
        <v>8</v>
      </c>
      <c r="U11" s="147">
        <v>4</v>
      </c>
    </row>
    <row r="12" spans="1:21" x14ac:dyDescent="0.2">
      <c r="A12" s="163">
        <v>5</v>
      </c>
      <c r="B12" s="33"/>
      <c r="C12" s="165" t="s">
        <v>157</v>
      </c>
      <c r="D12" s="33" t="s">
        <v>158</v>
      </c>
      <c r="E12" s="165" t="s">
        <v>159</v>
      </c>
      <c r="F12" s="165" t="s">
        <v>160</v>
      </c>
      <c r="G12" s="165" t="s">
        <v>140</v>
      </c>
      <c r="H12" s="165" t="s">
        <v>141</v>
      </c>
      <c r="I12" s="33">
        <v>23836</v>
      </c>
      <c r="J12" s="165">
        <v>8049319833</v>
      </c>
      <c r="K12" s="166">
        <v>42694</v>
      </c>
      <c r="L12" s="33">
        <v>8</v>
      </c>
      <c r="M12" s="33" t="s">
        <v>135</v>
      </c>
      <c r="N12" s="33"/>
      <c r="O12" s="33"/>
      <c r="P12" s="33"/>
      <c r="Q12" s="165"/>
      <c r="R12" s="33"/>
      <c r="S12" s="205" t="s">
        <v>161</v>
      </c>
      <c r="T12" s="181">
        <f t="shared" si="0"/>
        <v>8</v>
      </c>
      <c r="U12" s="147">
        <v>5</v>
      </c>
    </row>
    <row r="13" spans="1:21" x14ac:dyDescent="0.2">
      <c r="A13" s="163">
        <v>6</v>
      </c>
      <c r="B13" s="33"/>
      <c r="C13" s="165" t="s">
        <v>162</v>
      </c>
      <c r="D13" s="33" t="s">
        <v>163</v>
      </c>
      <c r="E13" s="165" t="s">
        <v>164</v>
      </c>
      <c r="F13" s="165" t="s">
        <v>165</v>
      </c>
      <c r="G13" s="165" t="s">
        <v>140</v>
      </c>
      <c r="H13" s="165" t="s">
        <v>141</v>
      </c>
      <c r="I13" s="33">
        <v>23838</v>
      </c>
      <c r="J13" s="165">
        <v>5026892115</v>
      </c>
      <c r="K13" s="166">
        <v>42867</v>
      </c>
      <c r="L13" s="33">
        <v>7</v>
      </c>
      <c r="M13" s="33" t="s">
        <v>166</v>
      </c>
      <c r="N13" s="33"/>
      <c r="O13" s="33"/>
      <c r="P13" s="33" t="s">
        <v>22</v>
      </c>
      <c r="Q13" s="33"/>
      <c r="R13" s="33"/>
      <c r="S13" s="205" t="s">
        <v>167</v>
      </c>
      <c r="T13" s="181">
        <f t="shared" si="0"/>
        <v>7</v>
      </c>
      <c r="U13" s="147">
        <v>6</v>
      </c>
    </row>
    <row r="14" spans="1:21" x14ac:dyDescent="0.2">
      <c r="A14" s="163">
        <v>7</v>
      </c>
      <c r="B14" s="33"/>
      <c r="C14" s="165" t="s">
        <v>168</v>
      </c>
      <c r="D14" s="165" t="s">
        <v>169</v>
      </c>
      <c r="E14" s="165" t="s">
        <v>170</v>
      </c>
      <c r="F14" s="165" t="s">
        <v>171</v>
      </c>
      <c r="G14" s="165" t="s">
        <v>140</v>
      </c>
      <c r="H14" s="165" t="s">
        <v>141</v>
      </c>
      <c r="I14" s="33">
        <v>23823</v>
      </c>
      <c r="J14" s="165">
        <v>7042877523</v>
      </c>
      <c r="K14" s="166">
        <v>42850</v>
      </c>
      <c r="L14" s="33">
        <v>8</v>
      </c>
      <c r="M14" s="33" t="s">
        <v>135</v>
      </c>
      <c r="N14" s="33"/>
      <c r="O14" s="33"/>
      <c r="P14" s="33"/>
      <c r="Q14" s="33"/>
      <c r="R14" s="33"/>
      <c r="S14" s="205" t="s">
        <v>172</v>
      </c>
      <c r="T14" s="181">
        <f t="shared" si="0"/>
        <v>8</v>
      </c>
      <c r="U14" s="147">
        <v>7</v>
      </c>
    </row>
    <row r="15" spans="1:21" x14ac:dyDescent="0.2">
      <c r="A15" s="163">
        <v>8</v>
      </c>
      <c r="B15" s="33"/>
      <c r="C15" s="165" t="s">
        <v>173</v>
      </c>
      <c r="D15" s="33" t="s">
        <v>174</v>
      </c>
      <c r="E15" s="165" t="s">
        <v>175</v>
      </c>
      <c r="F15" s="165" t="s">
        <v>176</v>
      </c>
      <c r="G15" s="165" t="s">
        <v>140</v>
      </c>
      <c r="H15" s="165" t="s">
        <v>141</v>
      </c>
      <c r="I15" s="33">
        <v>23836</v>
      </c>
      <c r="J15" s="165">
        <v>8042959503</v>
      </c>
      <c r="K15" s="166">
        <v>42663</v>
      </c>
      <c r="L15" s="33">
        <v>8</v>
      </c>
      <c r="M15" s="33" t="s">
        <v>135</v>
      </c>
      <c r="N15" s="33"/>
      <c r="O15" s="33"/>
      <c r="P15" s="165"/>
      <c r="Q15" s="33"/>
      <c r="R15" s="33"/>
      <c r="S15" s="205" t="s">
        <v>177</v>
      </c>
      <c r="T15" s="181">
        <f t="shared" si="0"/>
        <v>8</v>
      </c>
      <c r="U15" s="147">
        <v>8</v>
      </c>
    </row>
    <row r="16" spans="1:21" x14ac:dyDescent="0.2">
      <c r="A16" s="163">
        <v>9</v>
      </c>
      <c r="B16" s="33"/>
      <c r="C16" s="165" t="s">
        <v>178</v>
      </c>
      <c r="D16" s="33" t="s">
        <v>179</v>
      </c>
      <c r="E16" s="165" t="s">
        <v>180</v>
      </c>
      <c r="F16" s="165" t="s">
        <v>181</v>
      </c>
      <c r="G16" s="165" t="s">
        <v>140</v>
      </c>
      <c r="H16" s="165" t="s">
        <v>141</v>
      </c>
      <c r="I16" s="33">
        <v>23836</v>
      </c>
      <c r="J16" s="165">
        <v>8049439251</v>
      </c>
      <c r="K16" s="166">
        <v>42526</v>
      </c>
      <c r="L16" s="33">
        <v>8</v>
      </c>
      <c r="M16" s="33" t="s">
        <v>182</v>
      </c>
      <c r="N16" s="33">
        <v>853</v>
      </c>
      <c r="O16" s="33"/>
      <c r="P16" s="165"/>
      <c r="Q16" s="165"/>
      <c r="R16" s="33"/>
      <c r="S16" s="205" t="s">
        <v>183</v>
      </c>
      <c r="T16" s="181">
        <f t="shared" si="0"/>
        <v>8</v>
      </c>
      <c r="U16" s="147">
        <v>9</v>
      </c>
    </row>
    <row r="17" spans="1:21" x14ac:dyDescent="0.2">
      <c r="A17" s="163">
        <v>10</v>
      </c>
      <c r="B17" s="33"/>
      <c r="C17" s="165" t="s">
        <v>184</v>
      </c>
      <c r="D17" s="33" t="s">
        <v>185</v>
      </c>
      <c r="E17" s="165" t="s">
        <v>186</v>
      </c>
      <c r="F17" s="165" t="s">
        <v>187</v>
      </c>
      <c r="G17" s="165" t="s">
        <v>140</v>
      </c>
      <c r="H17" s="165" t="s">
        <v>141</v>
      </c>
      <c r="I17" s="33">
        <v>23836</v>
      </c>
      <c r="J17" s="165">
        <v>7193211777</v>
      </c>
      <c r="K17" s="166">
        <v>42785</v>
      </c>
      <c r="L17" s="33">
        <v>8</v>
      </c>
      <c r="M17" s="33" t="s">
        <v>135</v>
      </c>
      <c r="N17" s="33"/>
      <c r="O17" s="33"/>
      <c r="P17" s="165"/>
      <c r="Q17" s="33"/>
      <c r="R17" s="33"/>
      <c r="S17" s="205" t="s">
        <v>188</v>
      </c>
      <c r="T17" s="181">
        <f t="shared" si="0"/>
        <v>8</v>
      </c>
      <c r="U17" s="147">
        <v>10</v>
      </c>
    </row>
    <row r="18" spans="1:21" x14ac:dyDescent="0.2">
      <c r="A18" s="163">
        <v>11</v>
      </c>
      <c r="B18" s="33"/>
      <c r="C18" s="165" t="s">
        <v>189</v>
      </c>
      <c r="D18" s="33" t="s">
        <v>190</v>
      </c>
      <c r="E18" s="165" t="s">
        <v>178</v>
      </c>
      <c r="F18" s="165" t="s">
        <v>191</v>
      </c>
      <c r="G18" s="165" t="s">
        <v>140</v>
      </c>
      <c r="H18" s="165" t="s">
        <v>141</v>
      </c>
      <c r="I18" s="33">
        <v>23836</v>
      </c>
      <c r="J18" s="165">
        <v>8049269739</v>
      </c>
      <c r="K18" s="166">
        <v>42838</v>
      </c>
      <c r="L18" s="33">
        <v>8</v>
      </c>
      <c r="M18" s="33" t="s">
        <v>182</v>
      </c>
      <c r="N18" s="33"/>
      <c r="O18" s="33"/>
      <c r="P18" s="33"/>
      <c r="Q18" s="33"/>
      <c r="R18" s="33"/>
      <c r="S18" s="205" t="s">
        <v>192</v>
      </c>
      <c r="T18" s="181">
        <f t="shared" si="0"/>
        <v>8</v>
      </c>
      <c r="U18" s="147">
        <v>11</v>
      </c>
    </row>
    <row r="19" spans="1:21" x14ac:dyDescent="0.2">
      <c r="A19" s="163">
        <v>12</v>
      </c>
      <c r="B19" s="33"/>
      <c r="C19" s="165" t="s">
        <v>193</v>
      </c>
      <c r="D19" s="33" t="s">
        <v>194</v>
      </c>
      <c r="E19" s="165" t="s">
        <v>195</v>
      </c>
      <c r="F19" s="165" t="s">
        <v>196</v>
      </c>
      <c r="G19" s="165" t="s">
        <v>140</v>
      </c>
      <c r="H19" s="165" t="s">
        <v>141</v>
      </c>
      <c r="I19" s="33">
        <v>23836</v>
      </c>
      <c r="J19" s="165">
        <v>8045866229</v>
      </c>
      <c r="K19" s="166">
        <v>42706</v>
      </c>
      <c r="L19" s="33">
        <v>8</v>
      </c>
      <c r="M19" s="33" t="s">
        <v>182</v>
      </c>
      <c r="N19" s="33">
        <v>855</v>
      </c>
      <c r="O19" s="33"/>
      <c r="P19" s="33"/>
      <c r="Q19" s="165"/>
      <c r="R19" s="33"/>
      <c r="S19" s="205" t="s">
        <v>197</v>
      </c>
      <c r="T19" s="181">
        <f t="shared" si="0"/>
        <v>8</v>
      </c>
      <c r="U19" s="147">
        <v>12</v>
      </c>
    </row>
    <row r="20" spans="1:21" x14ac:dyDescent="0.2">
      <c r="A20" s="163">
        <v>13</v>
      </c>
      <c r="B20" s="33"/>
      <c r="C20" s="165"/>
      <c r="D20" s="33"/>
      <c r="E20" s="165"/>
      <c r="F20" s="165"/>
      <c r="G20" s="165"/>
      <c r="H20" s="165"/>
      <c r="I20" s="33"/>
      <c r="J20" s="165"/>
      <c r="K20" s="166"/>
      <c r="L20" s="33"/>
      <c r="M20" s="33"/>
      <c r="N20" s="33"/>
      <c r="O20" s="33"/>
      <c r="P20" s="33"/>
      <c r="Q20" s="33"/>
      <c r="R20" s="33"/>
      <c r="S20" s="33"/>
      <c r="T20" s="181" t="str">
        <f t="shared" si="0"/>
        <v/>
      </c>
      <c r="U20" s="147">
        <v>13</v>
      </c>
    </row>
    <row r="21" spans="1:21" x14ac:dyDescent="0.2">
      <c r="A21" s="163">
        <v>14</v>
      </c>
      <c r="B21" s="33"/>
      <c r="C21" s="165"/>
      <c r="D21" s="33"/>
      <c r="E21" s="165"/>
      <c r="F21" s="165"/>
      <c r="G21" s="165"/>
      <c r="H21" s="165"/>
      <c r="I21" s="33"/>
      <c r="J21" s="165"/>
      <c r="K21" s="166"/>
      <c r="L21" s="33"/>
      <c r="M21" s="33"/>
      <c r="N21" s="33"/>
      <c r="O21" s="33"/>
      <c r="P21" s="33"/>
      <c r="Q21" s="33"/>
      <c r="R21" s="33"/>
      <c r="S21" s="33"/>
      <c r="T21" s="181" t="str">
        <f t="shared" si="0"/>
        <v/>
      </c>
      <c r="U21" s="147">
        <v>14</v>
      </c>
    </row>
    <row r="22" spans="1:21" x14ac:dyDescent="0.2">
      <c r="A22" s="163">
        <v>15</v>
      </c>
      <c r="B22" s="33"/>
      <c r="C22" s="165"/>
      <c r="D22" s="33"/>
      <c r="E22" s="165"/>
      <c r="F22" s="165"/>
      <c r="G22" s="165"/>
      <c r="H22" s="165"/>
      <c r="I22" s="33"/>
      <c r="J22" s="165"/>
      <c r="K22" s="166"/>
      <c r="L22" s="33"/>
      <c r="M22" s="165"/>
      <c r="N22" s="33"/>
      <c r="O22" s="165"/>
      <c r="P22" s="165"/>
      <c r="Q22" s="165"/>
      <c r="R22" s="165"/>
      <c r="S22" s="165"/>
      <c r="T22" s="181" t="str">
        <f t="shared" si="0"/>
        <v/>
      </c>
      <c r="U22" s="148">
        <v>15</v>
      </c>
    </row>
    <row r="23" spans="1:21" ht="13.5" thickBot="1" x14ac:dyDescent="0.25">
      <c r="A23" s="154"/>
      <c r="B23" s="149"/>
      <c r="C23" s="150"/>
      <c r="D23" s="150"/>
      <c r="E23" s="150"/>
      <c r="F23" s="150"/>
      <c r="G23" s="150"/>
      <c r="H23" s="151"/>
      <c r="I23" s="151"/>
      <c r="J23" s="151"/>
      <c r="K23" s="152"/>
      <c r="L23" s="151"/>
      <c r="M23" s="151"/>
      <c r="N23" s="150"/>
      <c r="O23" s="151"/>
      <c r="P23" s="153"/>
      <c r="Q23" s="192"/>
      <c r="R23" s="151"/>
      <c r="S23" s="204"/>
      <c r="T23" s="192"/>
      <c r="U23" s="151"/>
    </row>
    <row r="24" spans="1:21" x14ac:dyDescent="0.2">
      <c r="A24" s="70" t="s">
        <v>68</v>
      </c>
      <c r="B24" s="6"/>
      <c r="C24" s="6"/>
      <c r="D24" s="6"/>
      <c r="E24" s="6"/>
      <c r="F24" s="6"/>
      <c r="G24" s="6"/>
      <c r="H24" s="7"/>
      <c r="I24" s="7"/>
      <c r="J24" s="6"/>
      <c r="K24" s="10"/>
      <c r="L24" s="7"/>
      <c r="M24" s="6"/>
      <c r="N24" s="6"/>
      <c r="O24" s="6"/>
      <c r="P24" s="7"/>
      <c r="Q24" s="6"/>
      <c r="R24" s="6"/>
      <c r="S24" s="6"/>
      <c r="T24" s="2"/>
    </row>
    <row r="25" spans="1:21" x14ac:dyDescent="0.2">
      <c r="A25" s="6"/>
      <c r="B25" s="10"/>
      <c r="C25" s="7"/>
      <c r="D25" s="6"/>
      <c r="E25" s="35"/>
      <c r="F25" s="36"/>
      <c r="G25" s="36"/>
      <c r="H25" s="7"/>
      <c r="I25" s="7"/>
      <c r="J25" s="6"/>
      <c r="K25" s="10"/>
      <c r="L25" s="7"/>
      <c r="M25" s="6"/>
      <c r="N25" s="35"/>
      <c r="O25" s="70" t="s">
        <v>68</v>
      </c>
      <c r="P25" s="36"/>
      <c r="Q25" s="38"/>
      <c r="R25" s="38"/>
      <c r="S25" s="38"/>
    </row>
    <row r="26" spans="1:21" x14ac:dyDescent="0.2">
      <c r="A26" s="6"/>
      <c r="B26" s="10"/>
      <c r="C26" s="7"/>
      <c r="D26" s="6"/>
      <c r="E26" s="35"/>
      <c r="F26" s="36"/>
      <c r="G26" s="36"/>
      <c r="H26" s="38"/>
      <c r="I26" s="2"/>
    </row>
    <row r="27" spans="1:21" x14ac:dyDescent="0.2">
      <c r="A27" s="155" t="s">
        <v>118</v>
      </c>
      <c r="B27" s="23"/>
      <c r="C27" s="3"/>
      <c r="D27" s="3"/>
      <c r="E27" s="3"/>
      <c r="F27" s="2"/>
      <c r="G27" s="2"/>
      <c r="H27" s="38"/>
      <c r="I27" s="2"/>
    </row>
    <row r="28" spans="1:21" ht="26.45" customHeight="1" x14ac:dyDescent="0.2">
      <c r="A28" s="27" t="s">
        <v>114</v>
      </c>
      <c r="B28" s="27" t="s">
        <v>52</v>
      </c>
      <c r="C28" s="27" t="s">
        <v>113</v>
      </c>
      <c r="D28" s="183" t="s">
        <v>15</v>
      </c>
      <c r="E28" s="176" t="s">
        <v>9</v>
      </c>
      <c r="F28" s="28" t="s">
        <v>16</v>
      </c>
      <c r="G28" s="29" t="s">
        <v>115</v>
      </c>
      <c r="H28" s="6"/>
      <c r="I28" s="6"/>
      <c r="J28" s="6"/>
      <c r="K28" s="6"/>
      <c r="L28" s="6"/>
      <c r="T28" s="7"/>
    </row>
    <row r="29" spans="1:21" x14ac:dyDescent="0.2">
      <c r="A29" s="165" t="s">
        <v>162</v>
      </c>
      <c r="B29" s="33" t="s">
        <v>163</v>
      </c>
      <c r="C29" s="165" t="s">
        <v>164</v>
      </c>
      <c r="D29" s="165" t="s">
        <v>166</v>
      </c>
      <c r="E29" s="165" t="s">
        <v>22</v>
      </c>
      <c r="F29" s="177" t="s">
        <v>202</v>
      </c>
      <c r="G29" s="177" t="s">
        <v>201</v>
      </c>
      <c r="H29" s="53"/>
      <c r="I29" s="178"/>
      <c r="J29" s="2"/>
      <c r="K29" s="3"/>
      <c r="L29" s="52"/>
      <c r="M29" s="6"/>
      <c r="N29" s="6"/>
      <c r="O29" s="6"/>
      <c r="P29" s="7"/>
      <c r="Q29" s="6"/>
      <c r="R29" s="6"/>
      <c r="S29" s="6"/>
    </row>
    <row r="30" spans="1:21" x14ac:dyDescent="0.2">
      <c r="A30" s="165"/>
      <c r="B30" s="33"/>
      <c r="C30" s="165"/>
      <c r="D30" s="165"/>
      <c r="E30" s="165"/>
      <c r="F30" s="177"/>
      <c r="G30" s="177"/>
      <c r="H30" s="7"/>
      <c r="I30" s="7"/>
      <c r="J30" s="52"/>
      <c r="K30" s="34"/>
      <c r="L30" s="52"/>
      <c r="M30" s="3"/>
      <c r="N30" s="2"/>
      <c r="O30" s="3"/>
      <c r="P30" s="2"/>
    </row>
    <row r="31" spans="1:21" x14ac:dyDescent="0.2">
      <c r="A31" s="165"/>
      <c r="B31" s="33"/>
      <c r="C31" s="165"/>
      <c r="D31" s="165"/>
      <c r="E31" s="165"/>
      <c r="F31" s="177"/>
      <c r="G31" s="177"/>
      <c r="H31" s="7"/>
      <c r="I31" s="7"/>
      <c r="J31" s="36"/>
      <c r="K31" s="10"/>
      <c r="L31" s="35"/>
      <c r="M31" s="53"/>
      <c r="N31" s="52"/>
      <c r="O31" s="53"/>
      <c r="P31" s="52"/>
    </row>
    <row r="32" spans="1:21" x14ac:dyDescent="0.2">
      <c r="A32" s="165"/>
      <c r="B32" s="33"/>
      <c r="C32" s="165"/>
      <c r="D32" s="165"/>
      <c r="E32" s="165"/>
      <c r="F32" s="177"/>
      <c r="G32" s="177"/>
      <c r="H32" s="7"/>
      <c r="I32" s="7"/>
      <c r="J32" s="7"/>
      <c r="K32" s="10"/>
      <c r="L32" s="6"/>
      <c r="M32" s="36"/>
      <c r="N32" s="36"/>
      <c r="O32" s="38"/>
      <c r="P32" s="2"/>
    </row>
    <row r="33" spans="1:23" x14ac:dyDescent="0.2">
      <c r="A33" s="165"/>
      <c r="B33" s="33"/>
      <c r="C33" s="165"/>
      <c r="D33" s="165"/>
      <c r="E33" s="165"/>
      <c r="F33" s="177"/>
      <c r="G33" s="177"/>
      <c r="H33" s="7"/>
      <c r="I33" s="7"/>
      <c r="J33" s="36"/>
      <c r="K33" s="37"/>
      <c r="L33" s="35"/>
      <c r="M33" s="6"/>
      <c r="N33" s="7"/>
      <c r="O33" s="6"/>
      <c r="P33" s="7"/>
    </row>
    <row r="34" spans="1:23" x14ac:dyDescent="0.2">
      <c r="A34" s="165"/>
      <c r="B34" s="33"/>
      <c r="C34" s="165"/>
      <c r="D34" s="165"/>
      <c r="E34" s="165"/>
      <c r="F34" s="177"/>
      <c r="G34" s="177"/>
      <c r="H34" s="7"/>
      <c r="I34" s="7"/>
      <c r="J34" s="36"/>
      <c r="K34" s="37"/>
      <c r="L34" s="35"/>
      <c r="M34" s="35"/>
      <c r="N34" s="36"/>
      <c r="O34" s="38"/>
      <c r="P34" s="2"/>
    </row>
    <row r="35" spans="1:23" x14ac:dyDescent="0.2">
      <c r="A35" s="34"/>
      <c r="B35" s="179"/>
      <c r="C35" s="179"/>
      <c r="D35" s="179"/>
      <c r="E35" s="179"/>
      <c r="F35" s="179"/>
      <c r="G35" s="179"/>
      <c r="H35" s="7"/>
      <c r="I35" s="7"/>
      <c r="J35" s="36"/>
      <c r="K35" s="37"/>
      <c r="L35" s="35"/>
      <c r="M35" s="36"/>
      <c r="N35" s="38"/>
      <c r="O35" s="2"/>
    </row>
    <row r="36" spans="1:23" x14ac:dyDescent="0.2">
      <c r="B36" s="174"/>
      <c r="C36" s="174"/>
      <c r="D36" s="174"/>
      <c r="E36" s="174"/>
      <c r="F36" s="174"/>
      <c r="G36" s="174"/>
      <c r="H36" s="175"/>
      <c r="I36" s="175"/>
      <c r="J36" s="174"/>
      <c r="K36" s="10"/>
      <c r="L36" s="7"/>
      <c r="M36" s="35"/>
      <c r="N36" s="36"/>
      <c r="O36" s="38"/>
      <c r="P36" s="2"/>
    </row>
    <row r="37" spans="1:23" x14ac:dyDescent="0.2">
      <c r="A37" s="173" t="s">
        <v>64</v>
      </c>
      <c r="B37" s="40"/>
      <c r="C37" s="40"/>
      <c r="D37" s="40"/>
      <c r="E37" s="41"/>
      <c r="F37" s="41"/>
      <c r="G37" s="42"/>
      <c r="H37" s="42"/>
      <c r="I37" s="40"/>
      <c r="J37" s="43"/>
      <c r="K37" s="44"/>
      <c r="L37" s="40"/>
      <c r="M37" s="6"/>
      <c r="N37" s="7"/>
      <c r="O37" s="6"/>
      <c r="P37" s="7"/>
      <c r="T37" s="2"/>
    </row>
    <row r="38" spans="1:23" ht="13.5" thickBot="1" x14ac:dyDescent="0.25">
      <c r="A38" s="26" t="s">
        <v>62</v>
      </c>
      <c r="B38" s="2"/>
      <c r="C38" s="51" t="s">
        <v>45</v>
      </c>
      <c r="D38" s="51" t="s">
        <v>52</v>
      </c>
      <c r="E38" s="51" t="s">
        <v>46</v>
      </c>
      <c r="F38" s="51" t="s">
        <v>5</v>
      </c>
      <c r="G38" s="52" t="s">
        <v>20</v>
      </c>
      <c r="H38" s="52" t="s">
        <v>47</v>
      </c>
      <c r="I38" s="52" t="s">
        <v>21</v>
      </c>
      <c r="J38" s="52" t="s">
        <v>121</v>
      </c>
      <c r="K38" s="52" t="s">
        <v>122</v>
      </c>
      <c r="L38" s="52" t="s">
        <v>42</v>
      </c>
      <c r="M38" s="37"/>
      <c r="N38" s="35"/>
      <c r="O38" s="36"/>
      <c r="P38" s="36"/>
      <c r="Q38" s="38"/>
      <c r="R38" s="38"/>
      <c r="S38" s="38"/>
      <c r="T38" s="7"/>
      <c r="U38" s="4"/>
      <c r="V38" s="4"/>
      <c r="W38" s="4"/>
    </row>
    <row r="39" spans="1:23" ht="13.5" thickBot="1" x14ac:dyDescent="0.25">
      <c r="A39" s="46"/>
      <c r="B39" s="48" t="s">
        <v>10</v>
      </c>
      <c r="C39" s="193" t="s">
        <v>198</v>
      </c>
      <c r="D39" s="193" t="s">
        <v>158</v>
      </c>
      <c r="E39" s="194" t="s">
        <v>204</v>
      </c>
      <c r="F39" s="32" t="s">
        <v>160</v>
      </c>
      <c r="G39" s="194" t="s">
        <v>140</v>
      </c>
      <c r="H39" s="194" t="s">
        <v>141</v>
      </c>
      <c r="I39" s="32">
        <v>23836</v>
      </c>
      <c r="J39" s="32">
        <v>8049319833</v>
      </c>
      <c r="K39" s="195" t="s">
        <v>161</v>
      </c>
      <c r="L39" s="47">
        <v>52401</v>
      </c>
      <c r="M39" s="6"/>
      <c r="N39" s="6"/>
      <c r="O39" s="6"/>
      <c r="P39" s="7"/>
      <c r="Q39" s="6"/>
      <c r="R39" s="6"/>
      <c r="S39" s="6"/>
      <c r="T39" s="35"/>
      <c r="U39" s="3"/>
      <c r="V39" s="3"/>
      <c r="W39" s="3"/>
    </row>
    <row r="40" spans="1:23" ht="13.5" thickBot="1" x14ac:dyDescent="0.25">
      <c r="A40" s="46"/>
      <c r="B40" s="49" t="s">
        <v>11</v>
      </c>
      <c r="C40" s="206" t="s">
        <v>205</v>
      </c>
      <c r="D40" s="206" t="s">
        <v>206</v>
      </c>
      <c r="E40" s="194" t="s">
        <v>154</v>
      </c>
      <c r="F40" s="194" t="s">
        <v>155</v>
      </c>
      <c r="G40" s="194" t="s">
        <v>140</v>
      </c>
      <c r="H40" s="194" t="s">
        <v>141</v>
      </c>
      <c r="I40" s="32">
        <v>23836</v>
      </c>
      <c r="J40" s="32">
        <v>8042523880</v>
      </c>
      <c r="K40" s="195" t="s">
        <v>156</v>
      </c>
      <c r="L40" s="47">
        <v>56808</v>
      </c>
      <c r="M40" s="3"/>
      <c r="N40" s="3"/>
      <c r="O40" s="2"/>
      <c r="P40" s="39"/>
      <c r="Q40" s="2"/>
      <c r="R40" s="2"/>
      <c r="S40" s="2"/>
      <c r="T40" s="2"/>
      <c r="U40" s="4"/>
      <c r="V40" s="4"/>
      <c r="W40" s="4"/>
    </row>
    <row r="41" spans="1:23" ht="13.5" thickBot="1" x14ac:dyDescent="0.25">
      <c r="A41" s="46"/>
      <c r="B41" s="49" t="s">
        <v>63</v>
      </c>
      <c r="C41" s="206" t="s">
        <v>148</v>
      </c>
      <c r="D41" s="206" t="s">
        <v>135</v>
      </c>
      <c r="E41" s="194" t="s">
        <v>207</v>
      </c>
      <c r="F41" s="32" t="s">
        <v>150</v>
      </c>
      <c r="G41" s="194" t="s">
        <v>140</v>
      </c>
      <c r="H41" s="194" t="s">
        <v>141</v>
      </c>
      <c r="I41" s="32">
        <v>23836</v>
      </c>
      <c r="J41" s="32">
        <v>8046911435</v>
      </c>
      <c r="K41" s="195" t="s">
        <v>151</v>
      </c>
      <c r="L41" s="47">
        <v>54826</v>
      </c>
      <c r="M41" s="15"/>
      <c r="N41" s="4"/>
      <c r="O41" s="4"/>
      <c r="P41" s="4"/>
      <c r="Q41" s="4"/>
      <c r="R41" s="4"/>
      <c r="S41" s="4"/>
      <c r="T41" s="45"/>
    </row>
    <row r="42" spans="1:23" ht="13.5" thickBot="1" x14ac:dyDescent="0.25">
      <c r="A42" s="46"/>
      <c r="B42" s="49" t="s">
        <v>63</v>
      </c>
      <c r="C42" s="206" t="s">
        <v>199</v>
      </c>
      <c r="D42" s="206" t="s">
        <v>190</v>
      </c>
      <c r="E42" s="194" t="s">
        <v>178</v>
      </c>
      <c r="F42" s="194" t="s">
        <v>200</v>
      </c>
      <c r="G42" s="194" t="s">
        <v>140</v>
      </c>
      <c r="H42" s="194" t="s">
        <v>141</v>
      </c>
      <c r="I42" s="32">
        <v>23836</v>
      </c>
      <c r="J42" s="32">
        <v>8049269739</v>
      </c>
      <c r="K42" s="195" t="s">
        <v>192</v>
      </c>
      <c r="L42" s="47">
        <v>58265</v>
      </c>
      <c r="M42" s="35"/>
      <c r="N42" s="3"/>
      <c r="O42" s="3"/>
      <c r="P42" s="3"/>
      <c r="Q42" s="3"/>
      <c r="R42" s="3"/>
      <c r="S42" s="3"/>
      <c r="T42" s="45"/>
      <c r="U42" s="4"/>
      <c r="V42" s="4"/>
      <c r="W42" s="4"/>
    </row>
    <row r="43" spans="1:23" ht="13.5" thickBot="1" x14ac:dyDescent="0.25">
      <c r="A43" s="46"/>
      <c r="B43" s="50" t="s">
        <v>63</v>
      </c>
      <c r="C43" s="206"/>
      <c r="D43" s="206"/>
      <c r="E43" s="194"/>
      <c r="F43" s="32"/>
      <c r="G43" s="32"/>
      <c r="H43" s="32"/>
      <c r="I43" s="32"/>
      <c r="J43" s="32"/>
      <c r="K43" s="185"/>
      <c r="L43" s="47"/>
      <c r="M43" s="35"/>
      <c r="N43" s="4"/>
      <c r="O43" s="4"/>
      <c r="P43" s="4"/>
      <c r="Q43" s="6"/>
      <c r="R43" s="6"/>
      <c r="S43" s="6"/>
      <c r="T43" s="45"/>
    </row>
    <row r="44" spans="1:23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35"/>
      <c r="N44" s="6"/>
      <c r="O44" s="6"/>
      <c r="P44" s="7"/>
      <c r="Q44" s="6"/>
      <c r="R44" s="6"/>
      <c r="S44" s="6"/>
      <c r="T44" s="45"/>
      <c r="U44" s="4"/>
      <c r="V44" s="4"/>
      <c r="W44" s="4"/>
    </row>
    <row r="45" spans="1:23" x14ac:dyDescent="0.2">
      <c r="B45" s="6"/>
      <c r="C45" s="6"/>
      <c r="D45" s="6"/>
      <c r="E45" s="6"/>
      <c r="F45" s="6"/>
      <c r="G45" s="6"/>
      <c r="H45" s="7"/>
      <c r="I45" s="7"/>
      <c r="J45" s="6"/>
      <c r="K45" s="10"/>
      <c r="L45" s="7"/>
      <c r="M45" s="35"/>
      <c r="N45" s="4"/>
      <c r="O45" s="4"/>
      <c r="P45" s="4"/>
      <c r="Q45" s="6"/>
      <c r="R45" s="6"/>
      <c r="S45" s="6"/>
      <c r="T45" s="45"/>
    </row>
    <row r="46" spans="1:23" x14ac:dyDescent="0.2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35"/>
      <c r="N46" s="6"/>
      <c r="O46" s="6"/>
      <c r="P46" s="7"/>
      <c r="Q46" s="4"/>
      <c r="R46" s="4"/>
      <c r="S46" s="4"/>
      <c r="T46" s="45"/>
    </row>
    <row r="47" spans="1:23" x14ac:dyDescent="0.2">
      <c r="A47" s="70" t="s">
        <v>68</v>
      </c>
      <c r="B47" s="6"/>
      <c r="C47" s="6"/>
      <c r="D47" s="6"/>
      <c r="E47" s="6"/>
      <c r="F47" s="6"/>
      <c r="G47" s="6"/>
      <c r="H47" s="7"/>
      <c r="I47" s="7"/>
      <c r="J47" s="6"/>
      <c r="K47" s="10"/>
      <c r="L47" s="7"/>
      <c r="M47" s="35"/>
      <c r="N47" s="4"/>
      <c r="O47" s="4"/>
      <c r="P47" s="4"/>
      <c r="Q47" s="4"/>
      <c r="R47" s="4"/>
      <c r="S47" s="4"/>
      <c r="T47" s="6"/>
    </row>
    <row r="48" spans="1:23" x14ac:dyDescent="0.2">
      <c r="A48" s="6"/>
      <c r="B48" s="6"/>
      <c r="C48" s="6"/>
      <c r="D48" s="6"/>
      <c r="E48" s="6"/>
      <c r="F48" s="6"/>
      <c r="G48" s="6"/>
      <c r="H48" s="7"/>
      <c r="I48" s="7"/>
      <c r="J48" s="6"/>
      <c r="K48" s="10"/>
      <c r="L48" s="7"/>
      <c r="M48" s="6"/>
      <c r="N48" s="6"/>
      <c r="O48" s="6"/>
      <c r="P48" s="7"/>
      <c r="Q48" s="6"/>
      <c r="R48" s="6"/>
      <c r="S48" s="6"/>
      <c r="T48" s="6"/>
    </row>
    <row r="49" spans="1:20" x14ac:dyDescent="0.2">
      <c r="A49" s="6"/>
      <c r="B49" s="6"/>
      <c r="C49" s="6"/>
      <c r="D49" s="6"/>
      <c r="E49" s="6"/>
      <c r="F49" s="6"/>
      <c r="G49" s="6"/>
      <c r="H49" s="7"/>
      <c r="I49" s="7"/>
      <c r="J49" s="6"/>
      <c r="K49" s="10"/>
      <c r="L49" s="7"/>
      <c r="M49" s="6"/>
      <c r="N49" s="6"/>
      <c r="O49" s="6"/>
      <c r="P49" s="7"/>
      <c r="Q49" s="6"/>
      <c r="R49" s="6"/>
      <c r="S49" s="6"/>
      <c r="T49" s="6"/>
    </row>
    <row r="50" spans="1:20" x14ac:dyDescent="0.2">
      <c r="A50" s="6"/>
      <c r="B50" s="6"/>
      <c r="C50" s="6"/>
      <c r="D50" s="6"/>
      <c r="E50" s="6"/>
      <c r="F50" s="6"/>
      <c r="G50" s="6"/>
      <c r="H50" s="7"/>
      <c r="I50" s="7"/>
      <c r="J50" s="6"/>
      <c r="K50" s="10"/>
      <c r="L50" s="7"/>
      <c r="M50" s="6"/>
      <c r="N50" s="6"/>
      <c r="O50" s="6"/>
      <c r="P50" s="7"/>
      <c r="Q50" s="6"/>
      <c r="R50" s="6"/>
      <c r="S50" s="6"/>
      <c r="T50" s="6"/>
    </row>
    <row r="51" spans="1:20" x14ac:dyDescent="0.2">
      <c r="A51" s="6"/>
      <c r="B51" s="6"/>
      <c r="C51" s="6"/>
      <c r="D51" s="6"/>
      <c r="E51" s="6"/>
      <c r="F51" s="6"/>
      <c r="G51" s="6"/>
      <c r="H51" s="7"/>
      <c r="I51" s="7"/>
      <c r="J51" s="6"/>
      <c r="K51" s="10"/>
      <c r="L51" s="7"/>
      <c r="M51" s="6"/>
      <c r="N51" s="6"/>
      <c r="O51" s="6"/>
      <c r="P51" s="7"/>
      <c r="Q51" s="6"/>
      <c r="R51" s="6"/>
      <c r="S51" s="6"/>
      <c r="T51" s="6"/>
    </row>
    <row r="52" spans="1:20" x14ac:dyDescent="0.2">
      <c r="A52" s="6"/>
      <c r="B52" s="6"/>
      <c r="C52" s="6"/>
      <c r="D52" s="6"/>
      <c r="E52" s="6"/>
      <c r="F52" s="6"/>
      <c r="G52" s="6"/>
      <c r="H52" s="7"/>
      <c r="I52" s="7"/>
      <c r="J52" s="6"/>
      <c r="K52" s="10"/>
      <c r="L52" s="7"/>
      <c r="M52" s="6"/>
      <c r="N52" s="6"/>
      <c r="O52" s="6"/>
      <c r="P52" s="7"/>
      <c r="Q52" s="6"/>
      <c r="R52" s="6"/>
      <c r="S52" s="6"/>
      <c r="T52" s="6"/>
    </row>
    <row r="53" spans="1:20" x14ac:dyDescent="0.2">
      <c r="A53" s="6"/>
      <c r="B53" s="6"/>
      <c r="C53" s="6"/>
      <c r="D53" s="6"/>
      <c r="E53" s="6"/>
      <c r="F53" s="6"/>
      <c r="G53" s="6"/>
      <c r="H53" s="7"/>
      <c r="I53" s="7"/>
      <c r="J53" s="6"/>
      <c r="K53" s="10"/>
      <c r="L53" s="7"/>
      <c r="M53" s="6"/>
      <c r="N53" s="6"/>
      <c r="O53" s="6"/>
      <c r="P53" s="7"/>
      <c r="Q53" s="6"/>
      <c r="R53" s="6"/>
      <c r="S53" s="6"/>
      <c r="T53" s="6"/>
    </row>
  </sheetData>
  <hyperlinks>
    <hyperlink ref="A24" location="Instruct_Top" display="Back to Instructions" xr:uid="{43054930-6965-4C5D-B720-CADDDCD6C47F}"/>
    <hyperlink ref="A47" location="Instruct_Bottom" display="Back to Instructions" xr:uid="{CF8544AE-094D-4CC9-83BE-7681A3DDC69D}"/>
    <hyperlink ref="O25" location="Instructions" display="Back to Instructions" xr:uid="{4E4F1A3E-B669-43F6-9BD0-241999DEC4E8}"/>
    <hyperlink ref="S8" r:id="rId1" xr:uid="{95017BCE-511C-45A1-849C-0DCFDED27733}"/>
    <hyperlink ref="S9" r:id="rId2" xr:uid="{778E9B05-4CDF-41E5-ADA6-2B17669B1055}"/>
    <hyperlink ref="S10" r:id="rId3" xr:uid="{C4D28262-94C6-4344-9D68-7501D8EBAE26}"/>
    <hyperlink ref="S11" r:id="rId4" xr:uid="{19222158-E547-4769-A009-16AD7793E5D4}"/>
    <hyperlink ref="S12" r:id="rId5" xr:uid="{047E39B0-DBCF-4699-92B6-DC23FA9C8751}"/>
    <hyperlink ref="S13" r:id="rId6" xr:uid="{0A98BDE8-D254-4F7B-8033-258B43BA0255}"/>
    <hyperlink ref="S14" r:id="rId7" xr:uid="{96BCD89E-570A-4298-9CB3-4E309A786D90}"/>
    <hyperlink ref="S15" r:id="rId8" xr:uid="{A78C6035-6E11-45DC-8156-F9CB49C1A2FB}"/>
    <hyperlink ref="S16" r:id="rId9" xr:uid="{CC076718-9F75-4CEC-9C92-EDB387C12BD8}"/>
    <hyperlink ref="S17" r:id="rId10" xr:uid="{05DC45EB-F855-4E99-AB5E-2AB2E481D19C}"/>
    <hyperlink ref="S18" r:id="rId11" xr:uid="{6789C44B-E414-42CC-822C-9434D77E7D3C}"/>
    <hyperlink ref="S19" r:id="rId12" xr:uid="{81390987-7441-4701-A43D-7C469934B64A}"/>
    <hyperlink ref="K40" r:id="rId13" xr:uid="{185A7F9D-3B00-4008-8631-1A1554862D49}"/>
    <hyperlink ref="K41" r:id="rId14" xr:uid="{AFA707F6-D075-4F86-AB1E-A59E88C4C4CA}"/>
    <hyperlink ref="K42" r:id="rId15" xr:uid="{AC12B59F-D222-4536-8B73-82BB907DF24E}"/>
  </hyperlinks>
  <pageMargins left="0.7" right="0.7" top="0.75" bottom="0.75" header="0.3" footer="0.3"/>
  <drawing r:id="rId16"/>
  <legacyDrawing r:id="rId1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6E54-16D6-4383-AAC2-5E5407A2B110}">
  <sheetPr codeName="Sheet1"/>
  <dimension ref="A1:AG58"/>
  <sheetViews>
    <sheetView tabSelected="1" zoomScaleNormal="100" workbookViewId="0">
      <pane ySplit="7" topLeftCell="A11" activePane="bottomLeft" state="frozen"/>
      <selection pane="bottomLeft" activeCell="N7" sqref="N7"/>
    </sheetView>
  </sheetViews>
  <sheetFormatPr defaultRowHeight="12.75" x14ac:dyDescent="0.2"/>
  <cols>
    <col min="1" max="1" width="2.5703125" style="9" customWidth="1"/>
    <col min="2" max="3" width="10.5703125" customWidth="1"/>
    <col min="4" max="4" width="9.42578125" customWidth="1"/>
    <col min="5" max="5" width="10.5703125" customWidth="1"/>
    <col min="6" max="6" width="8.85546875" customWidth="1"/>
    <col min="7" max="7" width="6.85546875" style="1" customWidth="1"/>
    <col min="8" max="8" width="5.5703125" style="1" customWidth="1"/>
    <col min="9" max="9" width="4.42578125" style="1" customWidth="1"/>
    <col min="10" max="10" width="8.140625" style="1" customWidth="1"/>
    <col min="11" max="11" width="5.85546875" style="2" customWidth="1"/>
    <col min="12" max="12" width="5.5703125" style="2" customWidth="1"/>
    <col min="13" max="13" width="7" style="15" customWidth="1"/>
    <col min="14" max="14" width="13.42578125" style="2" customWidth="1"/>
    <col min="15" max="15" width="9.85546875" customWidth="1"/>
    <col min="16" max="16" width="6.42578125" style="6" customWidth="1"/>
    <col min="17" max="18" width="9.140625" style="6" customWidth="1"/>
    <col min="19" max="19" width="11" style="6" customWidth="1"/>
    <col min="20" max="20" width="17.85546875" style="6" customWidth="1"/>
    <col min="21" max="21" width="18.85546875" style="6" customWidth="1"/>
    <col min="22" max="22" width="6.42578125" style="7" customWidth="1"/>
    <col min="23" max="23" width="8.5703125" style="7" customWidth="1"/>
    <col min="24" max="24" width="12.140625" style="6" bestFit="1" customWidth="1"/>
    <col min="25" max="25" width="10.140625" style="10" bestFit="1" customWidth="1"/>
    <col min="26" max="26" width="8.140625" style="7" customWidth="1"/>
    <col min="27" max="27" width="12.5703125" style="6" customWidth="1"/>
    <col min="28" max="28" width="11.42578125" style="6" customWidth="1"/>
    <col min="29" max="29" width="13.42578125" style="6" customWidth="1"/>
    <col min="30" max="30" width="3.5703125" style="7" customWidth="1"/>
    <col min="31" max="31" width="5.140625" style="6" customWidth="1"/>
    <col min="32" max="32" width="5.5703125" style="6" customWidth="1"/>
    <col min="33" max="33" width="4.140625" style="7" bestFit="1" customWidth="1"/>
    <col min="34" max="34" width="5" customWidth="1"/>
  </cols>
  <sheetData>
    <row r="1" spans="1:14" ht="18" x14ac:dyDescent="0.25">
      <c r="A1" s="90"/>
      <c r="B1" s="91" t="s">
        <v>0</v>
      </c>
      <c r="I1" s="189" t="s">
        <v>123</v>
      </c>
    </row>
    <row r="2" spans="1:14" x14ac:dyDescent="0.2">
      <c r="B2" s="4"/>
      <c r="C2" s="4"/>
      <c r="D2" s="4"/>
      <c r="E2" s="4"/>
      <c r="F2" s="4"/>
      <c r="G2" s="5"/>
      <c r="H2" s="5"/>
      <c r="I2" s="5"/>
      <c r="J2" s="5"/>
      <c r="K2" s="5"/>
      <c r="L2" s="5"/>
      <c r="M2" s="16"/>
    </row>
    <row r="3" spans="1:14" ht="18" x14ac:dyDescent="0.25">
      <c r="B3" s="91" t="s">
        <v>1</v>
      </c>
    </row>
    <row r="4" spans="1:14" x14ac:dyDescent="0.2">
      <c r="B4" s="4"/>
      <c r="C4" s="4"/>
      <c r="D4" s="4"/>
      <c r="E4" s="4"/>
      <c r="F4" s="4"/>
      <c r="G4" s="5"/>
      <c r="H4" s="5"/>
      <c r="I4" s="5"/>
      <c r="J4" s="5"/>
      <c r="K4" s="5"/>
      <c r="L4" s="5"/>
      <c r="M4" s="16"/>
    </row>
    <row r="5" spans="1:14" x14ac:dyDescent="0.2">
      <c r="B5" s="92" t="s">
        <v>38</v>
      </c>
      <c r="C5" s="164" t="str">
        <f>IF('Data Entry'!B3&gt;0,'Data Entry'!B3,"")</f>
        <v>SCOTT</v>
      </c>
      <c r="D5" s="8"/>
      <c r="E5" s="4"/>
      <c r="F5" s="4"/>
      <c r="G5" s="92" t="s">
        <v>2</v>
      </c>
      <c r="H5" s="207" t="str">
        <f>League</f>
        <v>PINTO</v>
      </c>
      <c r="I5" s="207"/>
      <c r="J5" s="207"/>
      <c r="K5" s="92" t="s">
        <v>3</v>
      </c>
      <c r="L5" s="93">
        <f>Year</f>
        <v>2025</v>
      </c>
      <c r="M5" s="18"/>
    </row>
    <row r="6" spans="1:14" x14ac:dyDescent="0.2">
      <c r="B6" s="94"/>
      <c r="C6" s="94"/>
      <c r="D6" s="95"/>
      <c r="E6" s="94"/>
      <c r="F6" s="94"/>
      <c r="G6" s="96"/>
      <c r="H6" s="96"/>
      <c r="I6" s="96"/>
      <c r="J6" s="96"/>
      <c r="K6" s="96"/>
      <c r="L6" s="96"/>
      <c r="M6" s="16"/>
    </row>
    <row r="7" spans="1:14" ht="27.6" customHeight="1" thickBot="1" x14ac:dyDescent="0.25">
      <c r="A7" s="97" t="s">
        <v>4</v>
      </c>
      <c r="B7" s="98"/>
      <c r="C7" s="99"/>
      <c r="D7" s="99"/>
      <c r="E7" s="98" t="s">
        <v>5</v>
      </c>
      <c r="F7" s="99"/>
      <c r="G7" s="100" t="s">
        <v>62</v>
      </c>
      <c r="H7" s="100" t="s">
        <v>41</v>
      </c>
      <c r="I7" s="100" t="s">
        <v>6</v>
      </c>
      <c r="J7" s="100" t="s">
        <v>7</v>
      </c>
      <c r="K7" s="100" t="s">
        <v>8</v>
      </c>
      <c r="L7" s="100" t="s">
        <v>9</v>
      </c>
      <c r="M7" s="186" t="s">
        <v>120</v>
      </c>
      <c r="N7" s="2" t="str">
        <f>'Data Entry'!S7</f>
        <v>Parent Emal</v>
      </c>
    </row>
    <row r="8" spans="1:14" ht="13.5" thickTop="1" x14ac:dyDescent="0.2">
      <c r="A8" s="101" t="s">
        <v>23</v>
      </c>
      <c r="B8" s="102" t="str">
        <f>'Data Entry'!C8&amp;" "&amp;'Data Entry'!E8</f>
        <v>COHEN CARROLL</v>
      </c>
      <c r="D8" s="103"/>
      <c r="E8" s="3" t="str">
        <f>IF('Data Entry'!F8&gt;0,'Data Entry'!F8,"")</f>
        <v>12101 SLOAN DRIVE</v>
      </c>
      <c r="F8" s="3"/>
      <c r="G8" s="16" t="str">
        <f>IF('Data Entry'!B8&gt;0,'Data Entry'!B8,"")</f>
        <v xml:space="preserve"> </v>
      </c>
      <c r="H8" s="156">
        <f>IF('Data Entry'!J8&gt;0,'Data Entry'!J8,"")</f>
        <v>8047319723</v>
      </c>
      <c r="I8" s="104">
        <f>IF('Data Entry'!T8&gt;0,'Data Entry'!T8,"")</f>
        <v>8</v>
      </c>
      <c r="J8" s="105">
        <f>IF('Data Entry'!K8&gt;0,'Data Entry'!K8,"")</f>
        <v>42656</v>
      </c>
      <c r="K8" s="106" t="str">
        <f>IF('Data Entry'!O8="x", "X", " ")</f>
        <v xml:space="preserve"> </v>
      </c>
      <c r="L8" s="2" t="str">
        <f>IF('Data Entry'!P8="X","X","")</f>
        <v/>
      </c>
      <c r="M8" s="15" t="str">
        <f>IF('Data Entry'!Q8="X","X","")</f>
        <v/>
      </c>
      <c r="N8" s="2" t="str">
        <f>'Data Entry'!S8</f>
        <v>JDC0120@GMAIL.COM</v>
      </c>
    </row>
    <row r="9" spans="1:14" x14ac:dyDescent="0.2">
      <c r="A9" s="107"/>
      <c r="B9" s="108" t="str">
        <f>IF('Data Entry'!N8&gt;0,'Data Entry'!N8,"")</f>
        <v/>
      </c>
      <c r="C9" s="109"/>
      <c r="D9" s="109"/>
      <c r="E9" s="110" t="str">
        <f>IF('Data Entry'!G8&gt;0,'Data Entry'!G8&amp;", "&amp;'Data Entry'!H8&amp;" "&amp;" "&amp;'Data Entry'!I8,"")</f>
        <v>CHESTER, VA  23836</v>
      </c>
      <c r="F9" s="110"/>
      <c r="G9" s="111"/>
      <c r="H9" s="157"/>
      <c r="I9" s="112"/>
      <c r="J9" s="113"/>
      <c r="K9" s="114"/>
      <c r="L9" s="114"/>
      <c r="M9" s="198"/>
    </row>
    <row r="10" spans="1:14" x14ac:dyDescent="0.2">
      <c r="A10" s="101" t="s">
        <v>24</v>
      </c>
      <c r="B10" s="102" t="str">
        <f>'Data Entry'!C9&amp;" "&amp;'Data Entry'!E9</f>
        <v>JAMES SHERRILL</v>
      </c>
      <c r="D10" s="103"/>
      <c r="E10" s="3" t="str">
        <f>IF('Data Entry'!F9&gt;0,'Data Entry'!F9,"")</f>
        <v>2100 BURGESS ROAD</v>
      </c>
      <c r="F10" s="3"/>
      <c r="G10" s="16" t="str">
        <f>IF('Data Entry'!B9&gt;0,'Data Entry'!B9,"")</f>
        <v/>
      </c>
      <c r="H10" s="156">
        <f>IF('Data Entry'!J9&gt;0,'Data Entry'!J9,"")</f>
        <v>8043897008</v>
      </c>
      <c r="I10" s="2">
        <f>IF('Data Entry'!T9&gt;0,'Data Entry'!T9,"")</f>
        <v>8</v>
      </c>
      <c r="J10" s="105">
        <f>IF('Data Entry'!K9&gt;0,'Data Entry'!K9,"")</f>
        <v>42804</v>
      </c>
      <c r="K10" s="106" t="str">
        <f>IF('Data Entry'!O9="x", "X", " ")</f>
        <v xml:space="preserve"> </v>
      </c>
      <c r="L10" s="2" t="str">
        <f>IF('Data Entry'!P9="X","X","")</f>
        <v/>
      </c>
      <c r="M10" s="15" t="str">
        <f>IF('Data Entry'!Q9="X","X","")</f>
        <v/>
      </c>
      <c r="N10" s="2" t="str">
        <f>'Data Entry'!S9</f>
        <v>MSHERRILL284@GMAIL.COM</v>
      </c>
    </row>
    <row r="11" spans="1:14" x14ac:dyDescent="0.2">
      <c r="A11" s="107"/>
      <c r="B11" s="108" t="str">
        <f>IF('Data Entry'!N9&gt;0,'Data Entry'!N9,"")</f>
        <v/>
      </c>
      <c r="C11" s="109"/>
      <c r="D11" s="109"/>
      <c r="E11" s="110" t="str">
        <f>IF('Data Entry'!G9&gt;0,'Data Entry'!G9&amp;", "&amp;'Data Entry'!H9&amp;" "&amp;" "&amp;'Data Entry'!I9,"")</f>
        <v>CHESTER, VA  23836</v>
      </c>
      <c r="F11" s="110"/>
      <c r="G11" s="111"/>
      <c r="H11" s="158"/>
      <c r="I11" s="114"/>
      <c r="J11" s="115"/>
      <c r="K11" s="114"/>
      <c r="L11" s="114"/>
      <c r="M11" s="130"/>
    </row>
    <row r="12" spans="1:14" x14ac:dyDescent="0.2">
      <c r="A12" s="101" t="s">
        <v>25</v>
      </c>
      <c r="B12" s="102" t="str">
        <f>'Data Entry'!C10&amp;" "&amp;'Data Entry'!E10</f>
        <v>KEVIN TUCKER III</v>
      </c>
      <c r="D12" s="103"/>
      <c r="E12" s="3" t="str">
        <f>IF('Data Entry'!F10&gt;0,'Data Entry'!F10,"")</f>
        <v>13001 RIVERS BEND ROAD</v>
      </c>
      <c r="F12" s="3"/>
      <c r="G12" s="16" t="str">
        <f>IF('Data Entry'!B10&gt;0,'Data Entry'!B10,"")</f>
        <v/>
      </c>
      <c r="H12" s="156">
        <f>IF('Data Entry'!J10&gt;0,'Data Entry'!J10,"")</f>
        <v>8046911435</v>
      </c>
      <c r="I12" s="2">
        <f>IF('Data Entry'!T10&gt;0,'Data Entry'!T10,"")</f>
        <v>8</v>
      </c>
      <c r="J12" s="105">
        <f>IF('Data Entry'!K10&gt;0,'Data Entry'!K10,"")</f>
        <v>42841</v>
      </c>
      <c r="K12" s="106" t="str">
        <f>IF('Data Entry'!O10="x", "X", " ")</f>
        <v xml:space="preserve"> </v>
      </c>
      <c r="L12" s="2" t="str">
        <f>IF('Data Entry'!P10="X","X","")</f>
        <v/>
      </c>
      <c r="M12" s="15" t="str">
        <f>IF('Data Entry'!Q10="X","X","")</f>
        <v/>
      </c>
      <c r="N12" s="2" t="str">
        <f>'Data Entry'!S10</f>
        <v>KEVIN_TUCKER@CCPSNET.NET</v>
      </c>
    </row>
    <row r="13" spans="1:14" x14ac:dyDescent="0.2">
      <c r="A13" s="107"/>
      <c r="B13" s="108" t="str">
        <f>IF('Data Entry'!N10&gt;0,'Data Entry'!N10,"")</f>
        <v/>
      </c>
      <c r="C13" s="109"/>
      <c r="D13" s="109"/>
      <c r="E13" s="110" t="str">
        <f>IF('Data Entry'!G10&gt;0,'Data Entry'!G10&amp;", "&amp;'Data Entry'!H10&amp;" "&amp;" "&amp;'Data Entry'!I10,"")</f>
        <v>CHESTER, VA  23836</v>
      </c>
      <c r="F13" s="110"/>
      <c r="G13" s="116"/>
      <c r="H13" s="158"/>
      <c r="I13" s="114"/>
      <c r="J13" s="115"/>
      <c r="K13" s="114"/>
      <c r="L13" s="114"/>
      <c r="M13" s="130"/>
    </row>
    <row r="14" spans="1:14" x14ac:dyDescent="0.2">
      <c r="A14" s="101" t="s">
        <v>26</v>
      </c>
      <c r="B14" s="102" t="str">
        <f>'Data Entry'!C11&amp;" "&amp;'Data Entry'!E11</f>
        <v>MARCELLO LANE</v>
      </c>
      <c r="D14" s="103"/>
      <c r="E14" s="3" t="str">
        <f>IF('Data Entry'!F11&gt;0,'Data Entry'!F11,"")</f>
        <v>439 FULCHER LANE</v>
      </c>
      <c r="F14" s="3"/>
      <c r="G14" s="16" t="str">
        <f>IF('Data Entry'!B11&gt;0,'Data Entry'!B11,"")</f>
        <v/>
      </c>
      <c r="H14" s="156">
        <f>IF('Data Entry'!J11&gt;0,'Data Entry'!J11,"")</f>
        <v>8042523880</v>
      </c>
      <c r="I14" s="2">
        <f>IF('Data Entry'!T11&gt;0,'Data Entry'!T11,"")</f>
        <v>8</v>
      </c>
      <c r="J14" s="105">
        <f>IF('Data Entry'!K11&gt;0,'Data Entry'!K11,"")</f>
        <v>42573</v>
      </c>
      <c r="K14" s="106" t="str">
        <f>IF('Data Entry'!O11="x", "X", " ")</f>
        <v xml:space="preserve"> </v>
      </c>
      <c r="L14" s="2" t="str">
        <f>IF('Data Entry'!P11="X","X","")</f>
        <v/>
      </c>
      <c r="M14" s="15" t="str">
        <f>IF('Data Entry'!Q11="X","X","")</f>
        <v/>
      </c>
      <c r="N14" s="2" t="str">
        <f>'Data Entry'!S11</f>
        <v>RLANE2763@GMAIL.COM</v>
      </c>
    </row>
    <row r="15" spans="1:14" x14ac:dyDescent="0.2">
      <c r="A15" s="107"/>
      <c r="B15" s="108" t="str">
        <f>IF('Data Entry'!N11&gt;0,'Data Entry'!N11,"")</f>
        <v/>
      </c>
      <c r="C15" s="109"/>
      <c r="D15" s="109"/>
      <c r="E15" s="110" t="str">
        <f>IF('Data Entry'!G11&gt;0,'Data Entry'!G11&amp;", "&amp;'Data Entry'!H11&amp;" "&amp;" "&amp;'Data Entry'!I11,"")</f>
        <v>CHESTER, VA  23836</v>
      </c>
      <c r="F15" s="110"/>
      <c r="G15" s="116"/>
      <c r="H15" s="158"/>
      <c r="I15" s="114"/>
      <c r="J15" s="115"/>
      <c r="K15" s="114"/>
      <c r="L15" s="114"/>
      <c r="M15" s="130"/>
    </row>
    <row r="16" spans="1:14" x14ac:dyDescent="0.2">
      <c r="A16" s="101" t="s">
        <v>27</v>
      </c>
      <c r="B16" s="102" t="str">
        <f>'Data Entry'!C12&amp;" "&amp;'Data Entry'!E12</f>
        <v>JAXON FISCHER</v>
      </c>
      <c r="D16" s="103"/>
      <c r="E16" s="3" t="str">
        <f>IF('Data Entry'!F12&gt;0,'Data Entry'!F12,"")</f>
        <v>2405 PRINCE GEORGE AVENUE</v>
      </c>
      <c r="F16" s="3"/>
      <c r="G16" s="16" t="str">
        <f>IF('Data Entry'!B12&gt;0,'Data Entry'!B12,"")</f>
        <v/>
      </c>
      <c r="H16" s="156">
        <f>IF('Data Entry'!J12&gt;0,'Data Entry'!J12,"")</f>
        <v>8049319833</v>
      </c>
      <c r="I16" s="2">
        <f>IF('Data Entry'!T12&gt;0,'Data Entry'!T12,"")</f>
        <v>8</v>
      </c>
      <c r="J16" s="105">
        <f>IF('Data Entry'!K12&gt;0,'Data Entry'!K12,"")</f>
        <v>42694</v>
      </c>
      <c r="K16" s="106" t="str">
        <f>IF('Data Entry'!O12="x", "X", " ")</f>
        <v xml:space="preserve"> </v>
      </c>
      <c r="L16" s="2" t="str">
        <f>IF('Data Entry'!P12="X","X","")</f>
        <v/>
      </c>
      <c r="M16" s="15" t="str">
        <f>IF('Data Entry'!Q12="X","X","")</f>
        <v/>
      </c>
      <c r="N16" s="2" t="str">
        <f>'Data Entry'!S12</f>
        <v>EDDIEFISCH@GMAIL.COM</v>
      </c>
    </row>
    <row r="17" spans="1:14" x14ac:dyDescent="0.2">
      <c r="A17" s="107"/>
      <c r="B17" s="108" t="str">
        <f>IF('Data Entry'!N12&gt;0,'Data Entry'!N12,"")</f>
        <v/>
      </c>
      <c r="C17" s="109"/>
      <c r="D17" s="109"/>
      <c r="E17" s="110" t="str">
        <f>IF('Data Entry'!G12&gt;0,'Data Entry'!G12&amp;", "&amp;'Data Entry'!H12&amp;" "&amp;" "&amp;'Data Entry'!I12,"")</f>
        <v>CHESTER, VA  23836</v>
      </c>
      <c r="F17" s="110"/>
      <c r="G17" s="116"/>
      <c r="H17" s="158"/>
      <c r="I17" s="114"/>
      <c r="J17" s="115"/>
      <c r="K17" s="114"/>
      <c r="L17" s="114"/>
      <c r="M17" s="130"/>
    </row>
    <row r="18" spans="1:14" x14ac:dyDescent="0.2">
      <c r="A18" s="101" t="s">
        <v>28</v>
      </c>
      <c r="B18" s="102" t="str">
        <f>'Data Entry'!C13&amp;" "&amp;'Data Entry'!E13</f>
        <v>BARRETT VOROS</v>
      </c>
      <c r="C18" s="4"/>
      <c r="D18" s="103"/>
      <c r="E18" s="3" t="str">
        <f>IF('Data Entry'!F13&gt;0,'Data Entry'!F13,"")</f>
        <v>7407 DUNOLLIE DRIVE</v>
      </c>
      <c r="F18" s="3"/>
      <c r="G18" s="16" t="str">
        <f>IF('Data Entry'!B13&gt;0,'Data Entry'!B13,"")</f>
        <v/>
      </c>
      <c r="H18" s="156">
        <f>IF('Data Entry'!J13&gt;0,'Data Entry'!J13,"")</f>
        <v>5026892115</v>
      </c>
      <c r="I18" s="2">
        <f>IF('Data Entry'!T13&gt;0,'Data Entry'!T13,"")</f>
        <v>7</v>
      </c>
      <c r="J18" s="105">
        <f>IF('Data Entry'!K13&gt;0,'Data Entry'!K13,"")</f>
        <v>42867</v>
      </c>
      <c r="K18" s="106" t="str">
        <f>IF('Data Entry'!O13="x", "X", " ")</f>
        <v xml:space="preserve"> </v>
      </c>
      <c r="L18" s="2" t="str">
        <f>IF('Data Entry'!P13="X","X","")</f>
        <v>X</v>
      </c>
      <c r="M18" s="15" t="str">
        <f>IF('Data Entry'!Q13="X","X","")</f>
        <v/>
      </c>
      <c r="N18" s="2" t="str">
        <f>'Data Entry'!S13</f>
        <v>DPVOROS1@GMAIL.COM</v>
      </c>
    </row>
    <row r="19" spans="1:14" x14ac:dyDescent="0.2">
      <c r="A19" s="107"/>
      <c r="B19" s="108" t="str">
        <f>IF('Data Entry'!N13&gt;0,'Data Entry'!N13,"")</f>
        <v/>
      </c>
      <c r="C19" s="94"/>
      <c r="D19" s="109"/>
      <c r="E19" s="110" t="str">
        <f>IF('Data Entry'!G13&gt;0,'Data Entry'!G13&amp;", "&amp;'Data Entry'!H13&amp;" "&amp;" "&amp;'Data Entry'!I13,"")</f>
        <v>CHESTER, VA  23838</v>
      </c>
      <c r="F19" s="110"/>
      <c r="G19" s="116"/>
      <c r="H19" s="158"/>
      <c r="I19" s="114"/>
      <c r="J19" s="115"/>
      <c r="K19" s="114"/>
      <c r="L19" s="114"/>
      <c r="M19" s="130"/>
    </row>
    <row r="20" spans="1:14" x14ac:dyDescent="0.2">
      <c r="A20" s="101" t="s">
        <v>29</v>
      </c>
      <c r="B20" s="102" t="str">
        <f>'Data Entry'!C14&amp;" "&amp;'Data Entry'!E14</f>
        <v>OLSEN CONNER</v>
      </c>
      <c r="D20" s="103"/>
      <c r="E20" s="3" t="str">
        <f>IF('Data Entry'!F14&gt;0,'Data Entry'!F14,"")</f>
        <v>13813 TOBACCO BAY COURT</v>
      </c>
      <c r="F20" s="3"/>
      <c r="G20" s="16" t="str">
        <f>IF('Data Entry'!B14&gt;0,'Data Entry'!B14,"")</f>
        <v/>
      </c>
      <c r="H20" s="156">
        <f>IF('Data Entry'!J14&gt;0,'Data Entry'!J14,"")</f>
        <v>7042877523</v>
      </c>
      <c r="I20" s="2">
        <f>IF('Data Entry'!T14&gt;0,'Data Entry'!T14,"")</f>
        <v>8</v>
      </c>
      <c r="J20" s="105">
        <f>IF('Data Entry'!K14&gt;0,'Data Entry'!K14,"")</f>
        <v>42850</v>
      </c>
      <c r="K20" s="106" t="str">
        <f>IF('Data Entry'!O14="x", "X", " ")</f>
        <v xml:space="preserve"> </v>
      </c>
      <c r="L20" s="2" t="str">
        <f>IF('Data Entry'!P14="X","X","")</f>
        <v/>
      </c>
      <c r="M20" s="15" t="str">
        <f>IF('Data Entry'!Q14="X","X","")</f>
        <v/>
      </c>
      <c r="N20" s="2" t="str">
        <f>'Data Entry'!S14</f>
        <v>CONNEREG@YAHOO.COM</v>
      </c>
    </row>
    <row r="21" spans="1:14" x14ac:dyDescent="0.2">
      <c r="A21" s="107"/>
      <c r="B21" s="108" t="str">
        <f>IF('Data Entry'!N14&gt;0,'Data Entry'!N14,"")</f>
        <v/>
      </c>
      <c r="C21" s="109"/>
      <c r="D21" s="109"/>
      <c r="E21" s="110" t="str">
        <f>IF('Data Entry'!G14&gt;0,'Data Entry'!G14&amp;", "&amp;'Data Entry'!H14&amp;" "&amp;" "&amp;'Data Entry'!I14,"")</f>
        <v>CHESTER, VA  23823</v>
      </c>
      <c r="F21" s="110"/>
      <c r="G21" s="116"/>
      <c r="H21" s="158"/>
      <c r="I21" s="114"/>
      <c r="J21" s="115"/>
      <c r="K21" s="114"/>
      <c r="L21" s="114"/>
      <c r="M21" s="130"/>
    </row>
    <row r="22" spans="1:14" x14ac:dyDescent="0.2">
      <c r="A22" s="101" t="s">
        <v>30</v>
      </c>
      <c r="B22" s="102" t="str">
        <f>'Data Entry'!C15&amp;" "&amp;'Data Entry'!E15</f>
        <v>GRIFFIN GUILD</v>
      </c>
      <c r="D22" s="103"/>
      <c r="E22" s="3" t="str">
        <f>IF('Data Entry'!F15&gt;0,'Data Entry'!F15,"")</f>
        <v>1607 LITWACK COVE TERRACE</v>
      </c>
      <c r="F22" s="3"/>
      <c r="G22" s="16" t="str">
        <f>IF('Data Entry'!B15&gt;0,'Data Entry'!B15,"")</f>
        <v/>
      </c>
      <c r="H22" s="156">
        <f>IF('Data Entry'!J15&gt;0,'Data Entry'!J15,"")</f>
        <v>8042959503</v>
      </c>
      <c r="I22" s="2">
        <f>IF('Data Entry'!T15&gt;0,'Data Entry'!T15,"")</f>
        <v>8</v>
      </c>
      <c r="J22" s="105">
        <f>IF('Data Entry'!K15&gt;0,'Data Entry'!K15,"")</f>
        <v>42663</v>
      </c>
      <c r="K22" s="106" t="str">
        <f>IF('Data Entry'!O15="x", "X", " ")</f>
        <v xml:space="preserve"> </v>
      </c>
      <c r="L22" s="2" t="str">
        <f>IF('Data Entry'!P15="X","X","")</f>
        <v/>
      </c>
      <c r="M22" s="15" t="str">
        <f>IF('Data Entry'!Q15="X","X","")</f>
        <v/>
      </c>
      <c r="N22" s="2" t="str">
        <f>'Data Entry'!S15</f>
        <v>ASHLEYGUILD.VA@GMAIL.COM</v>
      </c>
    </row>
    <row r="23" spans="1:14" x14ac:dyDescent="0.2">
      <c r="A23" s="107"/>
      <c r="B23" s="108" t="str">
        <f>IF('Data Entry'!N15&gt;0,'Data Entry'!N15,"")</f>
        <v/>
      </c>
      <c r="C23" s="109"/>
      <c r="D23" s="109"/>
      <c r="E23" s="110" t="str">
        <f>IF('Data Entry'!G15&gt;0,'Data Entry'!G15&amp;", "&amp;'Data Entry'!H15&amp;" "&amp;" "&amp;'Data Entry'!I15,"")</f>
        <v>CHESTER, VA  23836</v>
      </c>
      <c r="F23" s="110"/>
      <c r="G23" s="116"/>
      <c r="H23" s="158"/>
      <c r="I23" s="114"/>
      <c r="J23" s="115"/>
      <c r="K23" s="114"/>
      <c r="L23" s="114"/>
      <c r="M23" s="130"/>
    </row>
    <row r="24" spans="1:14" x14ac:dyDescent="0.2">
      <c r="A24" s="101" t="s">
        <v>31</v>
      </c>
      <c r="B24" s="102" t="str">
        <f>'Data Entry'!C16&amp;" "&amp;'Data Entry'!E16</f>
        <v>PARKER BOWLING</v>
      </c>
      <c r="D24" s="103"/>
      <c r="E24" s="3" t="str">
        <f>IF('Data Entry'!F16&gt;0,'Data Entry'!F16,"")</f>
        <v>2506 CHANNELMARK COURT</v>
      </c>
      <c r="F24" s="3"/>
      <c r="G24" s="16" t="str">
        <f>IF('Data Entry'!B16&gt;0,'Data Entry'!B16,"")</f>
        <v/>
      </c>
      <c r="H24" s="156">
        <f>IF('Data Entry'!J16&gt;0,'Data Entry'!J16,"")</f>
        <v>8049439251</v>
      </c>
      <c r="I24" s="2">
        <f>IF('Data Entry'!T16&gt;0,'Data Entry'!T16,"")</f>
        <v>8</v>
      </c>
      <c r="J24" s="105">
        <f>IF('Data Entry'!K16&gt;0,'Data Entry'!K16,"")</f>
        <v>42526</v>
      </c>
      <c r="K24" s="106" t="str">
        <f>IF('Data Entry'!O16="x", "X", " ")</f>
        <v xml:space="preserve"> </v>
      </c>
      <c r="L24" s="2" t="str">
        <f>IF('Data Entry'!P16="X","X","")</f>
        <v/>
      </c>
      <c r="M24" s="15" t="str">
        <f>IF('Data Entry'!Q16="X","X","")</f>
        <v/>
      </c>
      <c r="N24" s="2" t="str">
        <f>'Data Entry'!S16</f>
        <v>TRAVISWBOWLING@GMAIL.COM</v>
      </c>
    </row>
    <row r="25" spans="1:14" x14ac:dyDescent="0.2">
      <c r="A25" s="117"/>
      <c r="B25" s="108">
        <f>IF('Data Entry'!N16&gt;0,'Data Entry'!N16,"")</f>
        <v>853</v>
      </c>
      <c r="C25" s="109"/>
      <c r="D25" s="109"/>
      <c r="E25" s="110" t="str">
        <f>IF('Data Entry'!G16&gt;0,'Data Entry'!G16&amp;", "&amp;'Data Entry'!H16&amp;" "&amp;" "&amp;'Data Entry'!I16,"")</f>
        <v>CHESTER, VA  23836</v>
      </c>
      <c r="F25" s="110"/>
      <c r="G25" s="116"/>
      <c r="H25" s="158"/>
      <c r="I25" s="114"/>
      <c r="J25" s="115"/>
      <c r="K25" s="114"/>
      <c r="L25" s="114"/>
      <c r="M25" s="130"/>
    </row>
    <row r="26" spans="1:14" x14ac:dyDescent="0.2">
      <c r="A26" s="101" t="s">
        <v>32</v>
      </c>
      <c r="B26" s="102" t="str">
        <f>'Data Entry'!C17&amp;" "&amp;'Data Entry'!E17</f>
        <v>DAVONTE THOMAS</v>
      </c>
      <c r="D26" s="103"/>
      <c r="E26" s="3" t="str">
        <f>IF('Data Entry'!F17&gt;0,'Data Entry'!F17,"")</f>
        <v>1424 MANGROVE BAY TERRACE</v>
      </c>
      <c r="F26" s="3"/>
      <c r="G26" s="16" t="str">
        <f>IF('Data Entry'!B17&gt;0,'Data Entry'!B17,"")</f>
        <v/>
      </c>
      <c r="H26" s="156">
        <f>IF('Data Entry'!J17&gt;0,'Data Entry'!J17,"")</f>
        <v>7193211777</v>
      </c>
      <c r="I26" s="2">
        <f>IF('Data Entry'!T17&gt;0,'Data Entry'!T17,"")</f>
        <v>8</v>
      </c>
      <c r="J26" s="105">
        <f>IF('Data Entry'!K17&gt;0,'Data Entry'!K17,"")</f>
        <v>42785</v>
      </c>
      <c r="K26" s="106" t="str">
        <f>IF('Data Entry'!O17="x", "X", " ")</f>
        <v xml:space="preserve"> </v>
      </c>
      <c r="L26" s="2" t="str">
        <f>IF('Data Entry'!P17="X","X","")</f>
        <v/>
      </c>
      <c r="M26" s="15" t="str">
        <f>IF('Data Entry'!Q17="X","X","")</f>
        <v/>
      </c>
      <c r="N26" s="2" t="str">
        <f>'Data Entry'!S17</f>
        <v>GREGT7878@GMAIL.COM</v>
      </c>
    </row>
    <row r="27" spans="1:14" x14ac:dyDescent="0.2">
      <c r="A27" s="107"/>
      <c r="B27" s="108" t="str">
        <f>IF('Data Entry'!N17&gt;0,'Data Entry'!N17,"")</f>
        <v/>
      </c>
      <c r="C27" s="109"/>
      <c r="D27" s="109"/>
      <c r="E27" s="110" t="str">
        <f>IF('Data Entry'!G17&gt;0,'Data Entry'!G17&amp;", "&amp;'Data Entry'!H17&amp;" "&amp;" "&amp;'Data Entry'!I17,"")</f>
        <v>CHESTER, VA  23836</v>
      </c>
      <c r="F27" s="110"/>
      <c r="G27" s="116"/>
      <c r="H27" s="158"/>
      <c r="I27" s="114"/>
      <c r="J27" s="115"/>
      <c r="K27" s="114"/>
      <c r="L27" s="114"/>
      <c r="M27" s="130"/>
    </row>
    <row r="28" spans="1:14" x14ac:dyDescent="0.2">
      <c r="A28" s="101" t="s">
        <v>33</v>
      </c>
      <c r="B28" s="102" t="str">
        <f>'Data Entry'!C18&amp;" "&amp;'Data Entry'!E18</f>
        <v>FINNEGAN PARKER</v>
      </c>
      <c r="D28" s="103"/>
      <c r="E28" s="3" t="str">
        <f>IF('Data Entry'!F18&gt;0,'Data Entry'!F18,"")</f>
        <v>1800 MAINSAIL LANE</v>
      </c>
      <c r="F28" s="3"/>
      <c r="G28" s="16" t="str">
        <f>IF('Data Entry'!B18&gt;0,'Data Entry'!B18,"")</f>
        <v/>
      </c>
      <c r="H28" s="156">
        <f>IF('Data Entry'!J18&gt;0,'Data Entry'!J18,"")</f>
        <v>8049269739</v>
      </c>
      <c r="I28" s="2">
        <f>IF('Data Entry'!T18&gt;0,'Data Entry'!T18,"")</f>
        <v>8</v>
      </c>
      <c r="J28" s="105">
        <f>IF('Data Entry'!K18&gt;0,'Data Entry'!K18,"")</f>
        <v>42838</v>
      </c>
      <c r="K28" s="106" t="str">
        <f>IF('Data Entry'!O18="x", "X", " ")</f>
        <v xml:space="preserve"> </v>
      </c>
      <c r="L28" s="2" t="str">
        <f>IF('Data Entry'!P18="X","X","")</f>
        <v/>
      </c>
      <c r="M28" s="15" t="str">
        <f>IF('Data Entry'!Q18="X","X","")</f>
        <v/>
      </c>
      <c r="N28" s="2" t="str">
        <f>'Data Entry'!S18</f>
        <v>BMCPARKER82@GMAIL.COM</v>
      </c>
    </row>
    <row r="29" spans="1:14" x14ac:dyDescent="0.2">
      <c r="A29" s="107"/>
      <c r="B29" s="108" t="str">
        <f>IF('Data Entry'!N18&gt;0,'Data Entry'!N18,"")</f>
        <v/>
      </c>
      <c r="C29" s="109"/>
      <c r="D29" s="109"/>
      <c r="E29" s="110" t="str">
        <f>IF('Data Entry'!G18&gt;0,'Data Entry'!G18&amp;", "&amp;'Data Entry'!H18&amp;" "&amp;" "&amp;'Data Entry'!I18,"")</f>
        <v>CHESTER, VA  23836</v>
      </c>
      <c r="F29" s="110"/>
      <c r="G29" s="116"/>
      <c r="H29" s="158"/>
      <c r="I29" s="114"/>
      <c r="J29" s="115"/>
      <c r="K29" s="114"/>
      <c r="L29" s="114"/>
      <c r="M29" s="130"/>
    </row>
    <row r="30" spans="1:14" x14ac:dyDescent="0.2">
      <c r="A30" s="101" t="s">
        <v>34</v>
      </c>
      <c r="B30" s="102" t="str">
        <f>'Data Entry'!C19&amp;" "&amp;'Data Entry'!E19</f>
        <v>KINGSTON SLOAN</v>
      </c>
      <c r="D30" s="103"/>
      <c r="E30" s="3" t="str">
        <f>IF('Data Entry'!F19&gt;0,'Data Entry'!F19,"")</f>
        <v>800 CLUBCREST BLVD</v>
      </c>
      <c r="F30" s="3"/>
      <c r="G30" s="16" t="str">
        <f>IF('Data Entry'!B19&gt;0,'Data Entry'!B19,"")</f>
        <v/>
      </c>
      <c r="H30" s="156">
        <f>IF('Data Entry'!J19&gt;0,'Data Entry'!J19,"")</f>
        <v>8045866229</v>
      </c>
      <c r="I30" s="2">
        <f>IF('Data Entry'!T19&gt;0,'Data Entry'!T19,"")</f>
        <v>8</v>
      </c>
      <c r="J30" s="105">
        <f>IF('Data Entry'!K19&gt;0,'Data Entry'!K19,"")</f>
        <v>42706</v>
      </c>
      <c r="K30" s="106" t="str">
        <f>IF('Data Entry'!O19="x", "X", " ")</f>
        <v xml:space="preserve"> </v>
      </c>
      <c r="L30" s="2" t="str">
        <f>IF('Data Entry'!P19="X","X","")</f>
        <v/>
      </c>
      <c r="M30" s="15" t="str">
        <f>IF('Data Entry'!Q19="X","X","")</f>
        <v/>
      </c>
      <c r="N30" s="2" t="str">
        <f>'Data Entry'!S19</f>
        <v>KSLOAN85@AOL.COM</v>
      </c>
    </row>
    <row r="31" spans="1:14" x14ac:dyDescent="0.2">
      <c r="A31" s="107"/>
      <c r="B31" s="108">
        <f>IF('Data Entry'!N19&gt;0,'Data Entry'!N19,"")</f>
        <v>855</v>
      </c>
      <c r="C31" s="109"/>
      <c r="D31" s="109"/>
      <c r="E31" s="110" t="str">
        <f>IF('Data Entry'!G19&gt;0,'Data Entry'!G19&amp;", "&amp;'Data Entry'!H19&amp;" "&amp;" "&amp;'Data Entry'!I19,"")</f>
        <v>CHESTER, VA  23836</v>
      </c>
      <c r="F31" s="110"/>
      <c r="G31" s="116"/>
      <c r="H31" s="158"/>
      <c r="I31" s="114"/>
      <c r="J31" s="115"/>
      <c r="K31" s="114"/>
      <c r="L31" s="114"/>
      <c r="M31" s="130"/>
    </row>
    <row r="32" spans="1:14" x14ac:dyDescent="0.2">
      <c r="A32" s="101" t="s">
        <v>35</v>
      </c>
      <c r="B32" s="102" t="str">
        <f>'Data Entry'!C20&amp;" "&amp;'Data Entry'!E20</f>
        <v xml:space="preserve"> </v>
      </c>
      <c r="E32" s="3" t="str">
        <f>IF('Data Entry'!F20&gt;0,'Data Entry'!F20,"")</f>
        <v/>
      </c>
      <c r="G32" s="118" t="str">
        <f>IF('Data Entry'!B20&gt;0,'Data Entry'!B20,"")</f>
        <v/>
      </c>
      <c r="H32" s="156" t="str">
        <f>IF('Data Entry'!J20&gt;0,'Data Entry'!J20,"")</f>
        <v/>
      </c>
      <c r="I32" s="2" t="str">
        <f>IF('Data Entry'!T20&gt;0,'Data Entry'!T20,"")</f>
        <v/>
      </c>
      <c r="J32" s="105" t="str">
        <f>IF('Data Entry'!K20&gt;0,'Data Entry'!K20,"")</f>
        <v/>
      </c>
      <c r="K32" s="106" t="str">
        <f>IF('Data Entry'!O20="x", "X", " ")</f>
        <v xml:space="preserve"> </v>
      </c>
      <c r="L32" s="2" t="str">
        <f>IF('Data Entry'!P20="X","X","")</f>
        <v/>
      </c>
      <c r="M32" s="15" t="str">
        <f>IF('Data Entry'!Q20="X","X","")</f>
        <v/>
      </c>
      <c r="N32" s="2">
        <f>'Data Entry'!S20</f>
        <v>0</v>
      </c>
    </row>
    <row r="33" spans="1:14" x14ac:dyDescent="0.2">
      <c r="A33" s="101"/>
      <c r="B33" s="108" t="str">
        <f>IF('Data Entry'!N20&gt;0,'Data Entry'!N20,"")</f>
        <v/>
      </c>
      <c r="C33" s="119"/>
      <c r="D33" s="119"/>
      <c r="E33" s="110" t="str">
        <f>IF('Data Entry'!G20&gt;0,'Data Entry'!G20&amp;", "&amp;'Data Entry'!H20&amp;" "&amp;" "&amp;'Data Entry'!I20,"")</f>
        <v/>
      </c>
      <c r="F33" s="119"/>
      <c r="G33" s="120"/>
      <c r="H33" s="159"/>
      <c r="I33" s="121"/>
      <c r="J33" s="121"/>
      <c r="K33" s="122"/>
      <c r="L33" s="122"/>
      <c r="M33" s="199"/>
    </row>
    <row r="34" spans="1:14" x14ac:dyDescent="0.2">
      <c r="A34" s="101" t="s">
        <v>39</v>
      </c>
      <c r="B34" s="102" t="str">
        <f>'Data Entry'!C21&amp;" "&amp;'Data Entry'!E21</f>
        <v xml:space="preserve"> </v>
      </c>
      <c r="E34" s="3" t="str">
        <f>IF('Data Entry'!F21&gt;0,'Data Entry'!F21,"")</f>
        <v/>
      </c>
      <c r="G34" s="118" t="str">
        <f>IF('Data Entry'!B21&gt;0,'Data Entry'!B21,"")</f>
        <v/>
      </c>
      <c r="H34" s="156" t="str">
        <f>IF('Data Entry'!J21&gt;0,'Data Entry'!J21,"")</f>
        <v/>
      </c>
      <c r="I34" s="2" t="str">
        <f>IF('Data Entry'!T21&gt;0,'Data Entry'!T21,"")</f>
        <v/>
      </c>
      <c r="J34" s="105" t="str">
        <f>IF('Data Entry'!K21&gt;0,'Data Entry'!K21,"")</f>
        <v/>
      </c>
      <c r="K34" s="106" t="str">
        <f>IF('Data Entry'!O21="x", "X", " ")</f>
        <v xml:space="preserve"> </v>
      </c>
      <c r="L34" s="2" t="str">
        <f>IF('Data Entry'!P21="X","X","")</f>
        <v/>
      </c>
      <c r="M34" s="15" t="str">
        <f>IF('Data Entry'!Q21="X","X","")</f>
        <v/>
      </c>
      <c r="N34" s="2">
        <f>'Data Entry'!S21</f>
        <v>0</v>
      </c>
    </row>
    <row r="35" spans="1:14" x14ac:dyDescent="0.2">
      <c r="A35" s="107"/>
      <c r="B35" s="108" t="str">
        <f>IF('Data Entry'!N21&gt;0,'Data Entry'!N21,"")</f>
        <v/>
      </c>
      <c r="C35" s="119"/>
      <c r="D35" s="119"/>
      <c r="E35" s="110" t="str">
        <f>IF('Data Entry'!G21&gt;0,'Data Entry'!G21&amp;", "&amp;'Data Entry'!H21&amp;" "&amp;" "&amp;'Data Entry'!I21,"")</f>
        <v/>
      </c>
      <c r="F35" s="119"/>
      <c r="G35" s="120"/>
      <c r="H35" s="159"/>
      <c r="I35" s="121"/>
      <c r="J35" s="121"/>
      <c r="K35" s="122"/>
      <c r="L35" s="122"/>
      <c r="M35" s="199"/>
    </row>
    <row r="36" spans="1:14" x14ac:dyDescent="0.2">
      <c r="A36" s="101" t="s">
        <v>61</v>
      </c>
      <c r="B36" s="102" t="str">
        <f>'Data Entry'!C22&amp;" "&amp;'Data Entry'!E22</f>
        <v xml:space="preserve"> </v>
      </c>
      <c r="E36" s="3" t="str">
        <f>IF('Data Entry'!F22&gt;0,'Data Entry'!F22,"")</f>
        <v/>
      </c>
      <c r="G36" s="118" t="str">
        <f>IF('Data Entry'!B22&gt;0,'Data Entry'!B22,"")</f>
        <v/>
      </c>
      <c r="H36" s="156" t="str">
        <f>IF('Data Entry'!J22&gt;0,'Data Entry'!J22,"")</f>
        <v/>
      </c>
      <c r="I36" s="2" t="str">
        <f>IF('Data Entry'!T22&gt;0,'Data Entry'!T22,"")</f>
        <v/>
      </c>
      <c r="J36" s="105" t="str">
        <f>IF('Data Entry'!K22&gt;0,'Data Entry'!K22,"")</f>
        <v/>
      </c>
      <c r="K36" s="106" t="str">
        <f>IF('Data Entry'!O22="x", "X", " ")</f>
        <v xml:space="preserve"> </v>
      </c>
      <c r="L36" s="2" t="str">
        <f>IF('Data Entry'!P22="X","X","")</f>
        <v/>
      </c>
      <c r="M36" s="15" t="str">
        <f>IF('Data Entry'!Q22="X","X","")</f>
        <v/>
      </c>
      <c r="N36" s="2">
        <f>'Data Entry'!S22</f>
        <v>0</v>
      </c>
    </row>
    <row r="37" spans="1:14" ht="13.5" thickBot="1" x14ac:dyDescent="0.25">
      <c r="A37" s="107"/>
      <c r="B37" s="108" t="str">
        <f>IF('Data Entry'!N22&gt;0,'Data Entry'!N22,"")</f>
        <v/>
      </c>
      <c r="C37" s="109"/>
      <c r="D37" s="109"/>
      <c r="E37" s="110" t="str">
        <f>IF('Data Entry'!G22&gt;0,'Data Entry'!G22&amp;", "&amp;'Data Entry'!H22&amp;" "&amp;" "&amp;'Data Entry'!I22,"")</f>
        <v/>
      </c>
      <c r="F37" s="110"/>
      <c r="G37" s="116"/>
      <c r="H37" s="114"/>
      <c r="I37" s="114"/>
      <c r="J37" s="123"/>
      <c r="K37" s="114"/>
      <c r="L37" s="114"/>
      <c r="M37" s="130"/>
    </row>
    <row r="38" spans="1:14" s="4" customFormat="1" thickTop="1" x14ac:dyDescent="0.2">
      <c r="A38" s="124" t="s">
        <v>10</v>
      </c>
      <c r="B38" s="124"/>
      <c r="C38" s="125"/>
      <c r="D38" s="124" t="s">
        <v>5</v>
      </c>
      <c r="E38" s="125"/>
      <c r="F38" s="125"/>
      <c r="G38" s="126"/>
      <c r="H38" s="126" t="s">
        <v>40</v>
      </c>
      <c r="I38" s="127"/>
      <c r="J38" s="126" t="s">
        <v>121</v>
      </c>
      <c r="K38" s="126" t="s">
        <v>122</v>
      </c>
      <c r="L38" s="126" t="s">
        <v>42</v>
      </c>
      <c r="M38" s="16"/>
      <c r="N38" s="16"/>
    </row>
    <row r="39" spans="1:14" s="3" customFormat="1" ht="12" x14ac:dyDescent="0.2">
      <c r="A39" s="117"/>
      <c r="B39" s="128" t="str">
        <f>IF('Data Entry'!C39&gt;0,'Data Entry'!C39&amp;" "&amp;'Data Entry'!E39,"")</f>
        <v>EDDIE FISCHER III</v>
      </c>
      <c r="C39" s="110"/>
      <c r="D39" s="129" t="str">
        <f>IF('Data Entry'!F39&gt;0,'Data Entry'!F39&amp;", "&amp;'Data Entry'!G39&amp;", "&amp;'Data Entry'!H39&amp;" "&amp;'Data Entry'!I39,"")</f>
        <v>2405 PRINCE GEORGE AVENUE, CHESTER, VA 23836</v>
      </c>
      <c r="E39" s="129"/>
      <c r="F39" s="110"/>
      <c r="G39" s="130"/>
      <c r="H39" s="93" t="str">
        <f>IF('Data Entry'!A39&gt;0,'Data Entry'!A39,"")</f>
        <v/>
      </c>
      <c r="I39" s="114"/>
      <c r="J39" s="160">
        <f>IF('Data Entry'!J39&gt;0,'Data Entry'!J39,"")</f>
        <v>8049319833</v>
      </c>
      <c r="K39" s="158"/>
      <c r="L39" s="122">
        <f>IF('Data Entry'!L39&gt;0,'Data Entry'!L39,"")</f>
        <v>52401</v>
      </c>
      <c r="M39" s="15"/>
      <c r="N39" s="2"/>
    </row>
    <row r="40" spans="1:14" s="4" customFormat="1" ht="12" x14ac:dyDescent="0.2">
      <c r="A40" s="13" t="s">
        <v>11</v>
      </c>
      <c r="B40" s="13"/>
      <c r="C40" s="3"/>
      <c r="D40" s="13" t="s">
        <v>5</v>
      </c>
      <c r="E40" s="3"/>
      <c r="F40" s="3"/>
      <c r="G40" s="15"/>
      <c r="H40" s="15"/>
      <c r="I40" s="2"/>
      <c r="J40" s="15" t="s">
        <v>121</v>
      </c>
      <c r="K40" s="15" t="s">
        <v>122</v>
      </c>
      <c r="L40" s="15" t="s">
        <v>42</v>
      </c>
      <c r="M40" s="16"/>
      <c r="N40" s="16"/>
    </row>
    <row r="41" spans="1:14" x14ac:dyDescent="0.2">
      <c r="A41" s="117"/>
      <c r="B41" s="128" t="str">
        <f>IF('Data Entry'!C40&gt;0,'Data Entry'!C40&amp;" "&amp;'Data Entry'!E40,"")</f>
        <v>RICHARD LANE</v>
      </c>
      <c r="C41" s="109"/>
      <c r="D41" s="129" t="str">
        <f>IF('Data Entry'!F40&gt;0,'Data Entry'!F40&amp;", "&amp;'Data Entry'!G40&amp;", "&amp;'Data Entry'!H40&amp;" "&amp;'Data Entry'!I40,"")</f>
        <v>439 FULCHER LANE, CHESTER, VA 23836</v>
      </c>
      <c r="E41" s="110"/>
      <c r="F41" s="110"/>
      <c r="G41" s="130"/>
      <c r="H41" s="93" t="str">
        <f>IF('Data Entry'!A40&gt;0,'Data Entry'!A40,"")</f>
        <v/>
      </c>
      <c r="I41" s="114"/>
      <c r="J41" s="160">
        <f>IF('Data Entry'!J40&gt;0,'Data Entry'!J40,"")</f>
        <v>8042523880</v>
      </c>
      <c r="K41" s="158"/>
      <c r="L41" s="122">
        <f>IF('Data Entry'!L40&gt;0,'Data Entry'!L40,"")</f>
        <v>56808</v>
      </c>
    </row>
    <row r="42" spans="1:14" s="4" customFormat="1" ht="12" x14ac:dyDescent="0.2">
      <c r="A42" s="13" t="s">
        <v>12</v>
      </c>
      <c r="B42" s="13"/>
      <c r="C42" s="3"/>
      <c r="D42" s="13" t="s">
        <v>5</v>
      </c>
      <c r="E42" s="3"/>
      <c r="F42" s="3"/>
      <c r="G42" s="15"/>
      <c r="H42" s="15" t="s">
        <v>13</v>
      </c>
      <c r="I42" s="2"/>
      <c r="J42" s="15" t="s">
        <v>121</v>
      </c>
      <c r="K42" s="15" t="s">
        <v>122</v>
      </c>
      <c r="L42" s="15" t="s">
        <v>42</v>
      </c>
      <c r="M42" s="16"/>
      <c r="N42" s="16"/>
    </row>
    <row r="43" spans="1:14" x14ac:dyDescent="0.2">
      <c r="A43" s="117"/>
      <c r="B43" s="128" t="str">
        <f>IF('Data Entry'!C41&gt;0,'Data Entry'!C41&amp;" "&amp;'Data Entry'!E41,"")</f>
        <v>KEVIN TUCKER II</v>
      </c>
      <c r="C43" s="109"/>
      <c r="D43" s="129" t="str">
        <f>IF('Data Entry'!F41&gt;0,'Data Entry'!F41&amp;", "&amp;'Data Entry'!G41&amp;", "&amp;'Data Entry'!H41&amp;" "&amp;'Data Entry'!I41,"")</f>
        <v>13001 RIVERS BEND ROAD, CHESTER, VA 23836</v>
      </c>
      <c r="E43" s="110"/>
      <c r="F43" s="110"/>
      <c r="G43" s="130"/>
      <c r="H43" s="93" t="str">
        <f>IF('Data Entry'!A41&gt;0,'Data Entry'!A41,"")</f>
        <v/>
      </c>
      <c r="I43" s="114"/>
      <c r="J43" s="160">
        <f>IF('Data Entry'!J41&gt;0,'Data Entry'!J41,"")</f>
        <v>8046911435</v>
      </c>
      <c r="K43" s="158"/>
      <c r="L43" s="122">
        <f>IF('Data Entry'!L41&gt;0,'Data Entry'!L41,"")</f>
        <v>54826</v>
      </c>
    </row>
    <row r="44" spans="1:14" s="4" customFormat="1" ht="12" x14ac:dyDescent="0.2">
      <c r="A44" s="13" t="s">
        <v>12</v>
      </c>
      <c r="B44" s="13"/>
      <c r="C44" s="3"/>
      <c r="D44" s="13" t="s">
        <v>5</v>
      </c>
      <c r="E44" s="3"/>
      <c r="F44" s="3"/>
      <c r="G44" s="15"/>
      <c r="H44" s="15" t="s">
        <v>13</v>
      </c>
      <c r="I44" s="2"/>
      <c r="J44" s="15" t="s">
        <v>121</v>
      </c>
      <c r="K44" s="15" t="s">
        <v>122</v>
      </c>
      <c r="L44" s="15" t="s">
        <v>42</v>
      </c>
      <c r="M44" s="16"/>
      <c r="N44" s="16"/>
    </row>
    <row r="45" spans="1:14" x14ac:dyDescent="0.2">
      <c r="A45" s="117"/>
      <c r="B45" s="128" t="str">
        <f>IF('Data Entry'!C42&gt;0,'Data Entry'!C42&amp;" "&amp;'Data Entry'!E42,"")</f>
        <v>BROCK PARKER</v>
      </c>
      <c r="C45" s="109"/>
      <c r="D45" s="129" t="str">
        <f>IF('Data Entry'!F42&gt;0,'Data Entry'!F42&amp;", "&amp;'Data Entry'!G42&amp;", "&amp;'Data Entry'!H42&amp;" "&amp;'Data Entry'!I42,"")</f>
        <v>800 MAINSAIL LANE, CHESTER, VA 23836</v>
      </c>
      <c r="E45" s="110"/>
      <c r="F45" s="110"/>
      <c r="G45" s="130"/>
      <c r="H45" s="93" t="str">
        <f>IF('Data Entry'!A42&gt;0,'Data Entry'!A42,"")</f>
        <v/>
      </c>
      <c r="I45" s="114"/>
      <c r="J45" s="160">
        <f>IF('Data Entry'!J42&gt;0,'Data Entry'!J42,"")</f>
        <v>8049269739</v>
      </c>
      <c r="K45" s="158"/>
      <c r="L45" s="122">
        <f>IF('Data Entry'!L42&gt;0,'Data Entry'!L42,"")</f>
        <v>58265</v>
      </c>
    </row>
    <row r="46" spans="1:14" x14ac:dyDescent="0.2">
      <c r="A46" s="13" t="s">
        <v>12</v>
      </c>
      <c r="B46" s="13"/>
      <c r="C46" s="3"/>
      <c r="D46" s="13" t="s">
        <v>5</v>
      </c>
      <c r="E46" s="3"/>
      <c r="F46" s="3"/>
      <c r="G46" s="2"/>
      <c r="H46" s="15"/>
      <c r="I46" s="2"/>
      <c r="J46" s="15" t="s">
        <v>121</v>
      </c>
      <c r="K46" s="15" t="s">
        <v>122</v>
      </c>
      <c r="L46" s="15" t="s">
        <v>42</v>
      </c>
      <c r="M46" s="200"/>
      <c r="N46" s="17"/>
    </row>
    <row r="47" spans="1:14" ht="13.5" thickBot="1" x14ac:dyDescent="0.25">
      <c r="A47" s="131"/>
      <c r="B47" s="132" t="str">
        <f>IF('Data Entry'!C43&gt;0,'Data Entry'!C43&amp;" "&amp;'Data Entry'!E43,"")</f>
        <v/>
      </c>
      <c r="C47" s="133"/>
      <c r="D47" s="134" t="str">
        <f>IF('Data Entry'!F43&gt;0,'Data Entry'!F43&amp;", "&amp;'Data Entry'!G43&amp;", "&amp;'Data Entry'!H43&amp;" "&amp;'Data Entry'!I43,"")</f>
        <v/>
      </c>
      <c r="E47" s="134"/>
      <c r="F47" s="134"/>
      <c r="G47" s="135"/>
      <c r="H47" s="136" t="str">
        <f>IF('Data Entry'!A43&gt;0,'Data Entry'!A43,"")</f>
        <v/>
      </c>
      <c r="I47" s="135"/>
      <c r="J47" s="161" t="str">
        <f>IF('Data Entry'!J43&gt;0,'Data Entry'!J43,"")</f>
        <v/>
      </c>
      <c r="K47" s="161"/>
      <c r="L47" s="135" t="str">
        <f>IF('Data Entry'!L43&gt;0,'Data Entry'!L43,"")</f>
        <v/>
      </c>
      <c r="M47" s="201"/>
      <c r="N47" s="25"/>
    </row>
    <row r="48" spans="1:14" x14ac:dyDescent="0.2">
      <c r="A48" s="208" t="s">
        <v>37</v>
      </c>
      <c r="B48" s="208"/>
      <c r="C48" s="208"/>
      <c r="D48" s="208"/>
      <c r="E48" s="208"/>
      <c r="F48" s="208"/>
      <c r="G48" s="208"/>
      <c r="H48" s="208"/>
      <c r="I48" s="208"/>
      <c r="J48" s="208"/>
      <c r="K48" s="208"/>
      <c r="L48" s="208"/>
      <c r="M48" s="102"/>
      <c r="N48" s="4"/>
    </row>
    <row r="49" spans="1:33" ht="13.5" thickBot="1" x14ac:dyDescent="0.25">
      <c r="A49" s="209" t="s">
        <v>36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13"/>
      <c r="N49" s="3"/>
    </row>
    <row r="50" spans="1:33" ht="13.5" thickTop="1" x14ac:dyDescent="0.2">
      <c r="A50" s="102" t="s">
        <v>14</v>
      </c>
      <c r="B50" s="4"/>
      <c r="C50" s="4"/>
      <c r="D50" s="102" t="s">
        <v>15</v>
      </c>
      <c r="E50" s="4" t="s">
        <v>115</v>
      </c>
      <c r="F50" s="5"/>
      <c r="G50" s="5"/>
      <c r="H50" s="16"/>
      <c r="I50" s="16" t="s">
        <v>16</v>
      </c>
      <c r="J50" s="5"/>
      <c r="K50" s="5"/>
      <c r="L50" s="4"/>
      <c r="M50" s="13"/>
      <c r="N50" s="3"/>
    </row>
    <row r="51" spans="1:33" x14ac:dyDescent="0.2">
      <c r="A51" s="107" t="s">
        <v>23</v>
      </c>
      <c r="B51" s="128" t="str">
        <f>'Data Entry'!A29&amp;" "&amp;'Data Entry'!C29</f>
        <v>BARRETT VOROS</v>
      </c>
      <c r="C51" s="94"/>
      <c r="D51" s="129" t="str">
        <f>IF('Data Entry'!D29&gt;0,'Data Entry'!D29,"")</f>
        <v>GATES</v>
      </c>
      <c r="E51" s="114" t="str">
        <f>IF('Data Entry'!G29&gt;0,'Data Entry'!G29,"")</f>
        <v>PLYD WITH SCOTT KIDS IN CCLL</v>
      </c>
      <c r="F51" s="114"/>
      <c r="G51" s="114"/>
      <c r="H51" s="114"/>
      <c r="I51" s="114" t="str">
        <f>IF('Data Entry'!F29&gt;0,'Data Entry'!F29,"")</f>
        <v>CCLL</v>
      </c>
      <c r="J51" s="114"/>
      <c r="K51" s="114"/>
      <c r="L51" s="129"/>
      <c r="M51" s="13"/>
      <c r="N51" s="3"/>
    </row>
    <row r="52" spans="1:33" x14ac:dyDescent="0.2">
      <c r="A52" s="137" t="s">
        <v>24</v>
      </c>
      <c r="B52" s="128" t="str">
        <f>'Data Entry'!A30&amp;" "&amp;'Data Entry'!C30</f>
        <v xml:space="preserve"> </v>
      </c>
      <c r="C52" s="94"/>
      <c r="D52" s="129" t="str">
        <f>IF('Data Entry'!D30&gt;0,'Data Entry'!D30,"")</f>
        <v/>
      </c>
      <c r="E52" s="114" t="str">
        <f>IF('Data Entry'!G30&gt;0,'Data Entry'!G30,"")</f>
        <v/>
      </c>
      <c r="F52" s="114"/>
      <c r="G52" s="114"/>
      <c r="H52" s="114"/>
      <c r="I52" s="114" t="str">
        <f>IF('Data Entry'!F30&gt;0,'Data Entry'!F30,"")</f>
        <v/>
      </c>
      <c r="J52" s="114"/>
      <c r="K52" s="114"/>
      <c r="L52" s="138"/>
      <c r="M52" s="13"/>
      <c r="N52" s="3"/>
    </row>
    <row r="53" spans="1:33" x14ac:dyDescent="0.2">
      <c r="A53" s="137" t="s">
        <v>25</v>
      </c>
      <c r="B53" s="128" t="str">
        <f>'Data Entry'!A31&amp;" "&amp;'Data Entry'!C31</f>
        <v xml:space="preserve"> </v>
      </c>
      <c r="C53" s="94"/>
      <c r="D53" s="129" t="str">
        <f>IF('Data Entry'!D31&gt;0,'Data Entry'!D31,"")</f>
        <v/>
      </c>
      <c r="E53" s="114" t="str">
        <f>IF('Data Entry'!G31&gt;0,'Data Entry'!G31,"")</f>
        <v/>
      </c>
      <c r="F53" s="114"/>
      <c r="G53" s="114"/>
      <c r="H53" s="114"/>
      <c r="I53" s="114" t="str">
        <f>IF('Data Entry'!F31&gt;0,'Data Entry'!F31,"")</f>
        <v/>
      </c>
      <c r="J53" s="114"/>
      <c r="K53" s="114"/>
      <c r="L53" s="138"/>
      <c r="M53" s="13"/>
      <c r="N53" s="3"/>
    </row>
    <row r="54" spans="1:33" x14ac:dyDescent="0.2">
      <c r="A54" s="137" t="s">
        <v>26</v>
      </c>
      <c r="B54" s="128" t="str">
        <f>'Data Entry'!A32&amp;" "&amp;'Data Entry'!C32</f>
        <v xml:space="preserve"> </v>
      </c>
      <c r="C54" s="94"/>
      <c r="D54" s="129" t="str">
        <f>IF('Data Entry'!D32&gt;0,'Data Entry'!D32,"")</f>
        <v/>
      </c>
      <c r="E54" s="114" t="str">
        <f>IF('Data Entry'!G32&gt;0,'Data Entry'!G32,"")</f>
        <v/>
      </c>
      <c r="F54" s="114"/>
      <c r="G54" s="114"/>
      <c r="H54" s="114"/>
      <c r="I54" s="114" t="str">
        <f>IF('Data Entry'!F32&gt;0,'Data Entry'!F32,"")</f>
        <v/>
      </c>
      <c r="J54" s="114"/>
      <c r="K54" s="114"/>
      <c r="L54" s="138"/>
      <c r="M54" s="13"/>
      <c r="N54" s="3"/>
      <c r="O54" s="6"/>
      <c r="AG54" s="6"/>
    </row>
    <row r="55" spans="1:33" ht="12.75" customHeight="1" x14ac:dyDescent="0.2">
      <c r="A55" s="137" t="s">
        <v>27</v>
      </c>
      <c r="B55" s="128" t="str">
        <f>'Data Entry'!A33&amp;" "&amp;'Data Entry'!C33</f>
        <v xml:space="preserve"> </v>
      </c>
      <c r="C55" s="94"/>
      <c r="D55" s="129" t="str">
        <f>IF('Data Entry'!D33&gt;0,'Data Entry'!D33,"")</f>
        <v/>
      </c>
      <c r="E55" s="114" t="str">
        <f>IF('Data Entry'!G33&gt;0,'Data Entry'!G33,"")</f>
        <v/>
      </c>
      <c r="F55" s="114"/>
      <c r="G55" s="114"/>
      <c r="H55" s="114"/>
      <c r="I55" s="114" t="str">
        <f>IF('Data Entry'!F33&gt;0,'Data Entry'!F33,"")</f>
        <v/>
      </c>
      <c r="J55" s="114"/>
      <c r="K55" s="114"/>
      <c r="L55" s="138"/>
      <c r="M55" s="13"/>
      <c r="N55" s="3"/>
      <c r="O55" s="4"/>
      <c r="P55" s="4"/>
      <c r="Q55" s="4"/>
      <c r="R55" s="4"/>
      <c r="S55" s="4"/>
      <c r="T55" s="4"/>
      <c r="U55" s="4"/>
      <c r="V55" s="5"/>
      <c r="W55" s="5"/>
      <c r="X55" s="4"/>
      <c r="Y55" s="11"/>
      <c r="Z55" s="5"/>
      <c r="AG55" s="6"/>
    </row>
    <row r="56" spans="1:33" x14ac:dyDescent="0.2">
      <c r="A56" s="102" t="s">
        <v>17</v>
      </c>
      <c r="B56" s="4"/>
      <c r="C56" s="4"/>
      <c r="D56" s="4"/>
      <c r="E56" s="92" t="s">
        <v>18</v>
      </c>
      <c r="F56" s="139"/>
      <c r="G56" s="96"/>
      <c r="H56" s="96"/>
      <c r="I56" s="96"/>
      <c r="J56" s="92" t="s">
        <v>19</v>
      </c>
      <c r="K56" s="139"/>
      <c r="L56" s="8"/>
      <c r="AG56" s="6"/>
    </row>
    <row r="57" spans="1:33" x14ac:dyDescent="0.2">
      <c r="A57" s="4"/>
      <c r="F57" s="1"/>
      <c r="J57" s="2"/>
      <c r="L57"/>
      <c r="AG57" s="4"/>
    </row>
    <row r="58" spans="1:33" x14ac:dyDescent="0.2">
      <c r="AA58" s="4"/>
      <c r="AB58" s="4"/>
      <c r="AC58" s="4"/>
      <c r="AD58" s="5"/>
      <c r="AE58" s="4"/>
      <c r="AF58" s="4"/>
    </row>
  </sheetData>
  <mergeCells count="3">
    <mergeCell ref="H5:J5"/>
    <mergeCell ref="A48:L48"/>
    <mergeCell ref="A49:L49"/>
  </mergeCells>
  <phoneticPr fontId="2" type="noConversion"/>
  <printOptions horizontalCentered="1"/>
  <pageMargins left="0.5" right="0.5" top="0.5" bottom="0.5" header="0.5" footer="0.5"/>
  <pageSetup orientation="portrait" horizontalDpi="4294967293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096F7-562F-4BE2-93DD-CD5FF35A630C}">
  <sheetPr codeName="Sheet3"/>
  <dimension ref="A1:P56"/>
  <sheetViews>
    <sheetView showZeros="0" zoomScaleNormal="100" workbookViewId="0">
      <selection activeCell="O13" sqref="O13"/>
    </sheetView>
  </sheetViews>
  <sheetFormatPr defaultRowHeight="12.75" x14ac:dyDescent="0.2"/>
  <cols>
    <col min="1" max="1" width="2.5703125" style="9" customWidth="1"/>
    <col min="2" max="2" width="10.5703125" customWidth="1"/>
    <col min="3" max="3" width="7.5703125" customWidth="1"/>
    <col min="4" max="4" width="7.42578125" customWidth="1"/>
    <col min="5" max="5" width="5.5703125" customWidth="1"/>
    <col min="6" max="6" width="10.42578125" customWidth="1"/>
    <col min="7" max="8" width="7.5703125" style="1" customWidth="1"/>
    <col min="9" max="9" width="4.42578125" style="1" customWidth="1"/>
    <col min="10" max="10" width="8.42578125" style="1" customWidth="1"/>
    <col min="11" max="11" width="6" style="2" customWidth="1"/>
    <col min="12" max="12" width="7.42578125" style="2" customWidth="1"/>
    <col min="13" max="13" width="8.85546875" style="202"/>
  </cols>
  <sheetData>
    <row r="1" spans="1:15" ht="18" x14ac:dyDescent="0.25">
      <c r="A1" s="90"/>
      <c r="B1" s="91" t="s">
        <v>0</v>
      </c>
      <c r="O1" s="189" t="s">
        <v>123</v>
      </c>
    </row>
    <row r="2" spans="1:15" x14ac:dyDescent="0.2">
      <c r="B2" s="4"/>
      <c r="C2" s="4"/>
      <c r="D2" s="4"/>
      <c r="E2" s="4"/>
      <c r="F2" s="4"/>
      <c r="G2" s="5"/>
      <c r="H2" s="5"/>
      <c r="I2" s="5"/>
      <c r="J2" s="5"/>
      <c r="K2" s="5"/>
      <c r="L2" s="5"/>
    </row>
    <row r="3" spans="1:15" ht="18" x14ac:dyDescent="0.25">
      <c r="B3" s="91" t="s">
        <v>1</v>
      </c>
    </row>
    <row r="4" spans="1:15" x14ac:dyDescent="0.2">
      <c r="B4" s="4"/>
      <c r="C4" s="4"/>
      <c r="D4" s="4"/>
      <c r="E4" s="4"/>
      <c r="F4" s="4"/>
      <c r="G4" s="5"/>
      <c r="H4" s="5"/>
      <c r="I4" s="5"/>
      <c r="J4" s="5"/>
      <c r="K4" s="5"/>
      <c r="L4" s="5"/>
    </row>
    <row r="5" spans="1:15" x14ac:dyDescent="0.2">
      <c r="B5" s="92" t="s">
        <v>38</v>
      </c>
      <c r="C5" s="164" t="str">
        <f>'Official Team Roster'!C5</f>
        <v>SCOTT</v>
      </c>
      <c r="D5" s="8"/>
      <c r="E5" s="4"/>
      <c r="F5" s="4"/>
      <c r="G5" s="92" t="s">
        <v>2</v>
      </c>
      <c r="H5" s="207" t="str">
        <f>'Official Team Roster'!H5:J5</f>
        <v>PINTO</v>
      </c>
      <c r="I5" s="207"/>
      <c r="J5" s="207"/>
      <c r="K5" s="92" t="s">
        <v>3</v>
      </c>
      <c r="L5" s="93">
        <f>'Official Team Roster'!L5</f>
        <v>2025</v>
      </c>
    </row>
    <row r="6" spans="1:15" x14ac:dyDescent="0.2">
      <c r="B6" s="94"/>
      <c r="C6" s="94"/>
      <c r="D6" s="95"/>
      <c r="E6" s="94"/>
      <c r="F6" s="94"/>
      <c r="G6" s="96"/>
      <c r="H6" s="96"/>
      <c r="I6" s="96"/>
      <c r="J6" s="96"/>
      <c r="K6" s="96"/>
      <c r="L6" s="96"/>
    </row>
    <row r="7" spans="1:15" ht="27.6" customHeight="1" thickBot="1" x14ac:dyDescent="0.25">
      <c r="A7" s="97" t="s">
        <v>4</v>
      </c>
      <c r="B7" s="98"/>
      <c r="C7" s="99"/>
      <c r="D7" s="99"/>
      <c r="E7" s="98"/>
      <c r="F7" s="99"/>
      <c r="G7" s="100" t="s">
        <v>40</v>
      </c>
      <c r="H7" s="100"/>
      <c r="I7" s="100" t="s">
        <v>6</v>
      </c>
      <c r="J7" s="100" t="s">
        <v>7</v>
      </c>
      <c r="K7" s="100" t="s">
        <v>8</v>
      </c>
      <c r="L7" s="100" t="s">
        <v>9</v>
      </c>
      <c r="M7" s="187" t="s">
        <v>120</v>
      </c>
    </row>
    <row r="8" spans="1:15" ht="13.5" thickTop="1" x14ac:dyDescent="0.2">
      <c r="A8" s="101" t="s">
        <v>23</v>
      </c>
      <c r="B8" s="102" t="str">
        <f>'Official Team Roster'!B8</f>
        <v>COHEN CARROLL</v>
      </c>
      <c r="D8" s="103"/>
      <c r="E8" s="3"/>
      <c r="F8" s="3"/>
      <c r="G8" s="170" t="str">
        <f>'Official Team Roster'!G8</f>
        <v xml:space="preserve"> </v>
      </c>
      <c r="H8" s="2"/>
      <c r="I8" s="104">
        <f>'Official Team Roster'!I8</f>
        <v>8</v>
      </c>
      <c r="J8" s="105">
        <f>'Official Team Roster'!J8</f>
        <v>42656</v>
      </c>
      <c r="K8" s="106" t="str">
        <f>'Official Team Roster'!K8</f>
        <v xml:space="preserve"> </v>
      </c>
      <c r="L8" s="2" t="str">
        <f>'Official Team Roster'!L8</f>
        <v/>
      </c>
      <c r="M8" s="15" t="str">
        <f>'Official Team Roster'!M8</f>
        <v/>
      </c>
    </row>
    <row r="9" spans="1:15" x14ac:dyDescent="0.2">
      <c r="A9" s="107"/>
      <c r="B9" s="141" t="str">
        <f>'Official Team Roster'!B9</f>
        <v/>
      </c>
      <c r="C9" s="109"/>
      <c r="D9" s="109"/>
      <c r="E9" s="110"/>
      <c r="F9" s="110"/>
      <c r="G9" s="169"/>
      <c r="H9" s="112"/>
      <c r="I9" s="112"/>
      <c r="J9" s="113"/>
      <c r="K9" s="114"/>
      <c r="L9" s="114"/>
      <c r="M9" s="130"/>
    </row>
    <row r="10" spans="1:15" x14ac:dyDescent="0.2">
      <c r="A10" s="101" t="s">
        <v>24</v>
      </c>
      <c r="B10" s="102" t="str">
        <f>'Official Team Roster'!B10</f>
        <v>JAMES SHERRILL</v>
      </c>
      <c r="D10" s="103"/>
      <c r="E10" s="3"/>
      <c r="F10" s="3"/>
      <c r="G10" s="168" t="str">
        <f>'Official Team Roster'!G10</f>
        <v/>
      </c>
      <c r="H10" s="2"/>
      <c r="I10" s="104">
        <f>'Official Team Roster'!I10</f>
        <v>8</v>
      </c>
      <c r="J10" s="105">
        <f>'Official Team Roster'!J10</f>
        <v>42804</v>
      </c>
      <c r="K10" s="106" t="str">
        <f>'Official Team Roster'!K10</f>
        <v xml:space="preserve"> </v>
      </c>
      <c r="L10" s="2" t="str">
        <f>'Official Team Roster'!L10</f>
        <v/>
      </c>
      <c r="M10" s="15" t="str">
        <f>'Official Team Roster'!M10</f>
        <v/>
      </c>
    </row>
    <row r="11" spans="1:15" x14ac:dyDescent="0.2">
      <c r="A11" s="107"/>
      <c r="B11" s="141" t="str">
        <f>'Official Team Roster'!B11</f>
        <v/>
      </c>
      <c r="C11" s="109"/>
      <c r="D11" s="109"/>
      <c r="E11" s="110"/>
      <c r="F11" s="110"/>
      <c r="G11" s="169"/>
      <c r="H11" s="112"/>
      <c r="I11" s="112"/>
      <c r="J11" s="113"/>
      <c r="K11" s="114"/>
      <c r="L11" s="114"/>
      <c r="M11" s="130"/>
    </row>
    <row r="12" spans="1:15" x14ac:dyDescent="0.2">
      <c r="A12" s="101" t="s">
        <v>25</v>
      </c>
      <c r="B12" s="102" t="str">
        <f>'Official Team Roster'!B12</f>
        <v>KEVIN TUCKER III</v>
      </c>
      <c r="D12" s="103"/>
      <c r="E12" s="3"/>
      <c r="F12" s="3"/>
      <c r="G12" s="168" t="str">
        <f>'Official Team Roster'!G12</f>
        <v/>
      </c>
      <c r="H12" s="2"/>
      <c r="I12" s="104">
        <f>'Official Team Roster'!I12</f>
        <v>8</v>
      </c>
      <c r="J12" s="105">
        <f>'Official Team Roster'!J12</f>
        <v>42841</v>
      </c>
      <c r="K12" s="106" t="str">
        <f>'Official Team Roster'!K12</f>
        <v xml:space="preserve"> </v>
      </c>
      <c r="L12" s="2" t="str">
        <f>'Official Team Roster'!L12</f>
        <v/>
      </c>
      <c r="M12" s="15" t="str">
        <f>'Official Team Roster'!M12</f>
        <v/>
      </c>
    </row>
    <row r="13" spans="1:15" x14ac:dyDescent="0.2">
      <c r="A13" s="107"/>
      <c r="B13" s="141" t="str">
        <f>'Official Team Roster'!B13</f>
        <v/>
      </c>
      <c r="C13" s="109"/>
      <c r="D13" s="109"/>
      <c r="E13" s="110"/>
      <c r="F13" s="110"/>
      <c r="G13" s="169"/>
      <c r="H13" s="112"/>
      <c r="I13" s="112"/>
      <c r="J13" s="113"/>
      <c r="K13" s="114"/>
      <c r="L13" s="114"/>
      <c r="M13" s="130"/>
    </row>
    <row r="14" spans="1:15" x14ac:dyDescent="0.2">
      <c r="A14" s="101" t="s">
        <v>26</v>
      </c>
      <c r="B14" s="102" t="str">
        <f>'Official Team Roster'!B14</f>
        <v>MARCELLO LANE</v>
      </c>
      <c r="D14" s="103"/>
      <c r="E14" s="3"/>
      <c r="F14" s="3"/>
      <c r="G14" s="168" t="str">
        <f>'Official Team Roster'!G14</f>
        <v/>
      </c>
      <c r="H14" s="2"/>
      <c r="I14" s="104">
        <f>'Official Team Roster'!I14</f>
        <v>8</v>
      </c>
      <c r="J14" s="105">
        <f>'Official Team Roster'!J14</f>
        <v>42573</v>
      </c>
      <c r="K14" s="106" t="str">
        <f>'Official Team Roster'!K14</f>
        <v xml:space="preserve"> </v>
      </c>
      <c r="L14" s="2" t="str">
        <f>'Official Team Roster'!L14</f>
        <v/>
      </c>
      <c r="M14" s="15" t="str">
        <f>'Official Team Roster'!M14</f>
        <v/>
      </c>
    </row>
    <row r="15" spans="1:15" x14ac:dyDescent="0.2">
      <c r="A15" s="107"/>
      <c r="B15" s="141" t="str">
        <f>'Official Team Roster'!B15</f>
        <v/>
      </c>
      <c r="C15" s="109"/>
      <c r="D15" s="109"/>
      <c r="E15" s="110"/>
      <c r="F15" s="110"/>
      <c r="G15" s="169"/>
      <c r="H15" s="112"/>
      <c r="I15" s="112"/>
      <c r="J15" s="113"/>
      <c r="K15" s="114"/>
      <c r="L15" s="114"/>
      <c r="M15" s="130"/>
    </row>
    <row r="16" spans="1:15" x14ac:dyDescent="0.2">
      <c r="A16" s="101" t="s">
        <v>27</v>
      </c>
      <c r="B16" s="102" t="str">
        <f>'Official Team Roster'!B16</f>
        <v>JAXON FISCHER</v>
      </c>
      <c r="D16" s="103"/>
      <c r="E16" s="3"/>
      <c r="F16" s="3"/>
      <c r="G16" s="168" t="str">
        <f>'Official Team Roster'!G16</f>
        <v/>
      </c>
      <c r="H16" s="2"/>
      <c r="I16" s="104">
        <f>'Official Team Roster'!I16</f>
        <v>8</v>
      </c>
      <c r="J16" s="105">
        <f>'Official Team Roster'!J16</f>
        <v>42694</v>
      </c>
      <c r="K16" s="106" t="str">
        <f>'Official Team Roster'!K16</f>
        <v xml:space="preserve"> </v>
      </c>
      <c r="L16" s="2" t="str">
        <f>'Official Team Roster'!L16</f>
        <v/>
      </c>
      <c r="M16" s="15" t="str">
        <f>'Official Team Roster'!M16</f>
        <v/>
      </c>
    </row>
    <row r="17" spans="1:13" x14ac:dyDescent="0.2">
      <c r="A17" s="107"/>
      <c r="B17" s="141" t="str">
        <f>'Official Team Roster'!B17</f>
        <v/>
      </c>
      <c r="C17" s="109"/>
      <c r="D17" s="109"/>
      <c r="E17" s="110"/>
      <c r="F17" s="110"/>
      <c r="G17" s="169"/>
      <c r="H17" s="112"/>
      <c r="I17" s="112"/>
      <c r="J17" s="113"/>
      <c r="K17" s="114"/>
      <c r="L17" s="114"/>
      <c r="M17" s="130"/>
    </row>
    <row r="18" spans="1:13" x14ac:dyDescent="0.2">
      <c r="A18" s="101" t="s">
        <v>28</v>
      </c>
      <c r="B18" s="102" t="str">
        <f>'Official Team Roster'!B18</f>
        <v>BARRETT VOROS</v>
      </c>
      <c r="D18" s="103"/>
      <c r="E18" s="3"/>
      <c r="F18" s="3"/>
      <c r="G18" s="168" t="str">
        <f>'Official Team Roster'!G18</f>
        <v/>
      </c>
      <c r="H18" s="2"/>
      <c r="I18" s="104">
        <f>'Official Team Roster'!I18</f>
        <v>7</v>
      </c>
      <c r="J18" s="105">
        <f>'Official Team Roster'!J18</f>
        <v>42867</v>
      </c>
      <c r="K18" s="106" t="str">
        <f>'Official Team Roster'!K18</f>
        <v xml:space="preserve"> </v>
      </c>
      <c r="L18" s="2" t="str">
        <f>'Official Team Roster'!L18</f>
        <v>X</v>
      </c>
      <c r="M18" s="15" t="str">
        <f>'Official Team Roster'!M18</f>
        <v/>
      </c>
    </row>
    <row r="19" spans="1:13" x14ac:dyDescent="0.2">
      <c r="A19" s="107"/>
      <c r="B19" s="141" t="str">
        <f>'Official Team Roster'!B19</f>
        <v/>
      </c>
      <c r="C19" s="109"/>
      <c r="D19" s="109"/>
      <c r="E19" s="110"/>
      <c r="F19" s="110"/>
      <c r="G19" s="169"/>
      <c r="H19" s="112"/>
      <c r="I19" s="112"/>
      <c r="J19" s="113"/>
      <c r="K19" s="114"/>
      <c r="L19" s="114"/>
      <c r="M19" s="130"/>
    </row>
    <row r="20" spans="1:13" x14ac:dyDescent="0.2">
      <c r="A20" s="101" t="s">
        <v>29</v>
      </c>
      <c r="B20" s="102" t="str">
        <f>'Official Team Roster'!B20</f>
        <v>OLSEN CONNER</v>
      </c>
      <c r="D20" s="103"/>
      <c r="E20" s="3"/>
      <c r="F20" s="3"/>
      <c r="G20" s="168" t="str">
        <f>'Official Team Roster'!G20</f>
        <v/>
      </c>
      <c r="H20" s="2"/>
      <c r="I20" s="104">
        <f>'Official Team Roster'!I20</f>
        <v>8</v>
      </c>
      <c r="J20" s="105">
        <f>'Official Team Roster'!J20</f>
        <v>42850</v>
      </c>
      <c r="K20" s="106" t="str">
        <f>'Official Team Roster'!K20</f>
        <v xml:space="preserve"> </v>
      </c>
      <c r="L20" s="2" t="str">
        <f>'Official Team Roster'!L20</f>
        <v/>
      </c>
      <c r="M20" s="15" t="str">
        <f>'Official Team Roster'!M20</f>
        <v/>
      </c>
    </row>
    <row r="21" spans="1:13" x14ac:dyDescent="0.2">
      <c r="A21" s="107"/>
      <c r="B21" s="141" t="str">
        <f>'Official Team Roster'!B21</f>
        <v/>
      </c>
      <c r="C21" s="109"/>
      <c r="D21" s="109"/>
      <c r="E21" s="110"/>
      <c r="F21" s="110"/>
      <c r="G21" s="169"/>
      <c r="H21" s="112"/>
      <c r="I21" s="112"/>
      <c r="J21" s="113"/>
      <c r="K21" s="114"/>
      <c r="L21" s="114"/>
      <c r="M21" s="130"/>
    </row>
    <row r="22" spans="1:13" x14ac:dyDescent="0.2">
      <c r="A22" s="101" t="s">
        <v>30</v>
      </c>
      <c r="B22" s="102" t="str">
        <f>'Official Team Roster'!B22</f>
        <v>GRIFFIN GUILD</v>
      </c>
      <c r="D22" s="103"/>
      <c r="E22" s="3"/>
      <c r="F22" s="3"/>
      <c r="G22" s="168" t="str">
        <f>'Official Team Roster'!G22</f>
        <v/>
      </c>
      <c r="H22" s="2"/>
      <c r="I22" s="104">
        <f>'Official Team Roster'!I22</f>
        <v>8</v>
      </c>
      <c r="J22" s="105">
        <f>'Official Team Roster'!J22</f>
        <v>42663</v>
      </c>
      <c r="K22" s="106" t="str">
        <f>'Official Team Roster'!K22</f>
        <v xml:space="preserve"> </v>
      </c>
      <c r="L22" s="2" t="str">
        <f>'Official Team Roster'!L22</f>
        <v/>
      </c>
      <c r="M22" s="15" t="str">
        <f>'Official Team Roster'!M22</f>
        <v/>
      </c>
    </row>
    <row r="23" spans="1:13" x14ac:dyDescent="0.2">
      <c r="A23" s="107"/>
      <c r="B23" s="141" t="str">
        <f>'Official Team Roster'!B23</f>
        <v/>
      </c>
      <c r="C23" s="109"/>
      <c r="D23" s="109"/>
      <c r="E23" s="110"/>
      <c r="F23" s="110"/>
      <c r="G23" s="169"/>
      <c r="H23" s="112"/>
      <c r="I23" s="112"/>
      <c r="J23" s="113"/>
      <c r="K23" s="114"/>
      <c r="L23" s="114"/>
      <c r="M23" s="130"/>
    </row>
    <row r="24" spans="1:13" x14ac:dyDescent="0.2">
      <c r="A24" s="101" t="s">
        <v>31</v>
      </c>
      <c r="B24" s="102" t="str">
        <f>'Official Team Roster'!B24</f>
        <v>PARKER BOWLING</v>
      </c>
      <c r="D24" s="103"/>
      <c r="E24" s="3"/>
      <c r="F24" s="3"/>
      <c r="G24" s="168" t="str">
        <f>'Official Team Roster'!G24</f>
        <v/>
      </c>
      <c r="H24" s="2"/>
      <c r="I24" s="104">
        <f>'Official Team Roster'!I24</f>
        <v>8</v>
      </c>
      <c r="J24" s="105">
        <f>'Official Team Roster'!J24</f>
        <v>42526</v>
      </c>
      <c r="K24" s="106" t="str">
        <f>'Official Team Roster'!K24</f>
        <v xml:space="preserve"> </v>
      </c>
      <c r="L24" s="2" t="str">
        <f>'Official Team Roster'!L24</f>
        <v/>
      </c>
      <c r="M24" s="15" t="str">
        <f>'Official Team Roster'!M24</f>
        <v/>
      </c>
    </row>
    <row r="25" spans="1:13" x14ac:dyDescent="0.2">
      <c r="A25" s="117"/>
      <c r="B25" s="141">
        <f>'Official Team Roster'!B25</f>
        <v>853</v>
      </c>
      <c r="C25" s="109"/>
      <c r="D25" s="109"/>
      <c r="E25" s="110"/>
      <c r="F25" s="110"/>
      <c r="G25" s="169"/>
      <c r="H25" s="112"/>
      <c r="I25" s="112"/>
      <c r="J25" s="113"/>
      <c r="K25" s="114"/>
      <c r="L25" s="114"/>
      <c r="M25" s="130"/>
    </row>
    <row r="26" spans="1:13" x14ac:dyDescent="0.2">
      <c r="A26" s="101" t="s">
        <v>32</v>
      </c>
      <c r="B26" s="102" t="str">
        <f>'Official Team Roster'!B26</f>
        <v>DAVONTE THOMAS</v>
      </c>
      <c r="D26" s="103"/>
      <c r="E26" s="3"/>
      <c r="F26" s="3"/>
      <c r="G26" s="168" t="str">
        <f>'Official Team Roster'!G26</f>
        <v/>
      </c>
      <c r="H26" s="2"/>
      <c r="I26" s="104">
        <f>'Official Team Roster'!I26</f>
        <v>8</v>
      </c>
      <c r="J26" s="105">
        <f>'Official Team Roster'!J26</f>
        <v>42785</v>
      </c>
      <c r="K26" s="106" t="str">
        <f>'Official Team Roster'!K26</f>
        <v xml:space="preserve"> </v>
      </c>
      <c r="L26" s="2" t="str">
        <f>'Official Team Roster'!L26</f>
        <v/>
      </c>
      <c r="M26" s="15" t="str">
        <f>'Official Team Roster'!M26</f>
        <v/>
      </c>
    </row>
    <row r="27" spans="1:13" x14ac:dyDescent="0.2">
      <c r="A27" s="107"/>
      <c r="B27" s="141" t="str">
        <f>'Official Team Roster'!B27</f>
        <v/>
      </c>
      <c r="C27" s="109"/>
      <c r="D27" s="109"/>
      <c r="E27" s="110"/>
      <c r="F27" s="110"/>
      <c r="G27" s="169"/>
      <c r="H27" s="112"/>
      <c r="I27" s="112"/>
      <c r="J27" s="113"/>
      <c r="K27" s="114"/>
      <c r="L27" s="114"/>
      <c r="M27" s="130"/>
    </row>
    <row r="28" spans="1:13" x14ac:dyDescent="0.2">
      <c r="A28" s="101" t="s">
        <v>33</v>
      </c>
      <c r="B28" s="102" t="str">
        <f>'Official Team Roster'!B28</f>
        <v>FINNEGAN PARKER</v>
      </c>
      <c r="D28" s="103"/>
      <c r="E28" s="3"/>
      <c r="F28" s="3"/>
      <c r="G28" s="168" t="str">
        <f>'Official Team Roster'!G28</f>
        <v/>
      </c>
      <c r="H28" s="2"/>
      <c r="I28" s="104">
        <f>'Official Team Roster'!I28</f>
        <v>8</v>
      </c>
      <c r="J28" s="105">
        <f>'Official Team Roster'!J28</f>
        <v>42838</v>
      </c>
      <c r="K28" s="106" t="str">
        <f>'Official Team Roster'!K28</f>
        <v xml:space="preserve"> </v>
      </c>
      <c r="L28" s="2" t="str">
        <f>'Official Team Roster'!L28</f>
        <v/>
      </c>
      <c r="M28" s="15" t="str">
        <f>'Official Team Roster'!M28</f>
        <v/>
      </c>
    </row>
    <row r="29" spans="1:13" x14ac:dyDescent="0.2">
      <c r="A29" s="107"/>
      <c r="B29" s="141" t="str">
        <f>'Official Team Roster'!B29</f>
        <v/>
      </c>
      <c r="C29" s="109"/>
      <c r="D29" s="109"/>
      <c r="E29" s="110"/>
      <c r="F29" s="110"/>
      <c r="G29" s="169"/>
      <c r="H29" s="112"/>
      <c r="I29" s="112"/>
      <c r="J29" s="113"/>
      <c r="K29" s="114"/>
      <c r="L29" s="114"/>
      <c r="M29" s="130"/>
    </row>
    <row r="30" spans="1:13" x14ac:dyDescent="0.2">
      <c r="A30" s="101" t="s">
        <v>34</v>
      </c>
      <c r="B30" s="102" t="str">
        <f>'Official Team Roster'!B30</f>
        <v>KINGSTON SLOAN</v>
      </c>
      <c r="D30" s="103"/>
      <c r="E30" s="3"/>
      <c r="F30" s="3"/>
      <c r="G30" s="140" t="str">
        <f>'Official Team Roster'!G30</f>
        <v/>
      </c>
      <c r="H30" s="2"/>
      <c r="I30" s="104">
        <f>'Official Team Roster'!I30</f>
        <v>8</v>
      </c>
      <c r="J30" s="105">
        <f>'Official Team Roster'!J30</f>
        <v>42706</v>
      </c>
      <c r="K30" s="106" t="str">
        <f>'Official Team Roster'!K30</f>
        <v xml:space="preserve"> </v>
      </c>
      <c r="L30" s="2" t="str">
        <f>'Official Team Roster'!L30</f>
        <v/>
      </c>
      <c r="M30" s="15" t="str">
        <f>'Official Team Roster'!M30</f>
        <v/>
      </c>
    </row>
    <row r="31" spans="1:13" x14ac:dyDescent="0.2">
      <c r="A31" s="107"/>
      <c r="B31" s="141">
        <f>'Official Team Roster'!B31</f>
        <v>855</v>
      </c>
      <c r="C31" s="109"/>
      <c r="D31" s="109"/>
      <c r="E31" s="110"/>
      <c r="F31" s="110"/>
      <c r="G31" s="142"/>
      <c r="H31" s="112"/>
      <c r="I31" s="112"/>
      <c r="J31" s="113"/>
      <c r="K31" s="114"/>
      <c r="L31" s="114"/>
      <c r="M31" s="130"/>
    </row>
    <row r="32" spans="1:13" x14ac:dyDescent="0.2">
      <c r="A32" s="101" t="s">
        <v>35</v>
      </c>
      <c r="B32" s="102" t="str">
        <f>'Official Team Roster'!B32</f>
        <v xml:space="preserve"> </v>
      </c>
      <c r="D32" s="103"/>
      <c r="E32" s="3"/>
      <c r="F32" s="3"/>
      <c r="G32" s="140" t="str">
        <f>'Official Team Roster'!G32</f>
        <v/>
      </c>
      <c r="H32" s="2"/>
      <c r="I32" s="104" t="str">
        <f>'Official Team Roster'!I32</f>
        <v/>
      </c>
      <c r="J32" s="105" t="str">
        <f>'Official Team Roster'!J32</f>
        <v/>
      </c>
      <c r="K32" s="106" t="str">
        <f>'Official Team Roster'!K32</f>
        <v xml:space="preserve"> </v>
      </c>
      <c r="L32" s="2" t="str">
        <f>'Official Team Roster'!L32</f>
        <v/>
      </c>
      <c r="M32" s="15" t="str">
        <f>'Official Team Roster'!M32</f>
        <v/>
      </c>
    </row>
    <row r="33" spans="1:13" x14ac:dyDescent="0.2">
      <c r="A33" s="107"/>
      <c r="B33" s="141" t="str">
        <f>'Official Team Roster'!B33</f>
        <v/>
      </c>
      <c r="C33" s="109"/>
      <c r="D33" s="109"/>
      <c r="E33" s="110"/>
      <c r="F33" s="110"/>
      <c r="G33" s="142"/>
      <c r="H33" s="112"/>
      <c r="I33" s="112"/>
      <c r="J33" s="113"/>
      <c r="K33" s="114"/>
      <c r="L33" s="114"/>
      <c r="M33" s="130"/>
    </row>
    <row r="34" spans="1:13" x14ac:dyDescent="0.2">
      <c r="A34" s="101" t="s">
        <v>39</v>
      </c>
      <c r="B34" s="102" t="str">
        <f>'Official Team Roster'!B34</f>
        <v xml:space="preserve"> </v>
      </c>
      <c r="D34" s="103"/>
      <c r="E34" s="3"/>
      <c r="F34" s="3"/>
      <c r="G34" s="140" t="str">
        <f>'Official Team Roster'!G34</f>
        <v/>
      </c>
      <c r="H34" s="2"/>
      <c r="I34" s="104" t="str">
        <f>'Official Team Roster'!I34</f>
        <v/>
      </c>
      <c r="J34" s="105" t="str">
        <f>'Official Team Roster'!J34</f>
        <v/>
      </c>
      <c r="K34" s="106" t="str">
        <f>'Official Team Roster'!K34</f>
        <v xml:space="preserve"> </v>
      </c>
      <c r="L34" s="2" t="str">
        <f>'Official Team Roster'!L34</f>
        <v/>
      </c>
      <c r="M34" s="15" t="str">
        <f>'Official Team Roster'!M34</f>
        <v/>
      </c>
    </row>
    <row r="35" spans="1:13" x14ac:dyDescent="0.2">
      <c r="A35" s="107"/>
      <c r="B35" s="141" t="str">
        <f>'Official Team Roster'!B35</f>
        <v/>
      </c>
      <c r="C35" s="109"/>
      <c r="D35" s="109"/>
      <c r="E35" s="110"/>
      <c r="F35" s="110"/>
      <c r="G35" s="142"/>
      <c r="H35" s="112"/>
      <c r="I35" s="112"/>
      <c r="J35" s="113"/>
      <c r="K35" s="114"/>
      <c r="L35" s="114"/>
      <c r="M35" s="130"/>
    </row>
    <row r="36" spans="1:13" s="4" customFormat="1" x14ac:dyDescent="0.2">
      <c r="A36" s="101" t="s">
        <v>61</v>
      </c>
      <c r="B36" s="102" t="str">
        <f>'Official Team Roster'!B36</f>
        <v xml:space="preserve"> </v>
      </c>
      <c r="C36"/>
      <c r="D36" s="103"/>
      <c r="E36" s="3"/>
      <c r="F36" s="3"/>
      <c r="G36" s="140" t="str">
        <f>'Official Team Roster'!G36</f>
        <v/>
      </c>
      <c r="H36" s="2"/>
      <c r="I36" s="104" t="str">
        <f>'Official Team Roster'!I36</f>
        <v/>
      </c>
      <c r="J36" s="105" t="str">
        <f>'Official Team Roster'!J36</f>
        <v/>
      </c>
      <c r="K36" s="106" t="str">
        <f>'Official Team Roster'!K36</f>
        <v xml:space="preserve"> </v>
      </c>
      <c r="L36" s="2" t="str">
        <f>'Official Team Roster'!L36</f>
        <v/>
      </c>
      <c r="M36" s="15" t="str">
        <f>'Official Team Roster'!M36</f>
        <v/>
      </c>
    </row>
    <row r="37" spans="1:13" s="3" customFormat="1" ht="13.5" thickBot="1" x14ac:dyDescent="0.25">
      <c r="A37" s="107"/>
      <c r="B37" s="141" t="str">
        <f>'Official Team Roster'!B37</f>
        <v/>
      </c>
      <c r="C37" s="109"/>
      <c r="D37" s="109"/>
      <c r="E37" s="110"/>
      <c r="F37" s="110"/>
      <c r="G37" s="142"/>
      <c r="H37" s="112"/>
      <c r="I37" s="112"/>
      <c r="J37" s="113"/>
      <c r="K37" s="114"/>
      <c r="L37" s="114"/>
      <c r="M37" s="130"/>
    </row>
    <row r="38" spans="1:13" s="4" customFormat="1" thickTop="1" x14ac:dyDescent="0.2">
      <c r="A38" s="124" t="s">
        <v>10</v>
      </c>
      <c r="B38" s="124"/>
      <c r="C38" s="125"/>
      <c r="D38" s="124" t="s">
        <v>5</v>
      </c>
      <c r="E38" s="125"/>
      <c r="F38" s="125"/>
      <c r="G38" s="126"/>
      <c r="H38" s="126" t="s">
        <v>40</v>
      </c>
      <c r="I38" s="127"/>
      <c r="J38" s="126" t="s">
        <v>121</v>
      </c>
      <c r="K38" s="126"/>
      <c r="L38" s="126" t="s">
        <v>42</v>
      </c>
      <c r="M38" s="102"/>
    </row>
    <row r="39" spans="1:13" x14ac:dyDescent="0.2">
      <c r="A39" s="117"/>
      <c r="B39" s="128" t="str">
        <f>'Official Team Roster'!B39</f>
        <v>EDDIE FISCHER III</v>
      </c>
      <c r="C39" s="110"/>
      <c r="D39" s="129" t="str">
        <f>'Official Team Roster'!D39</f>
        <v>2405 PRINCE GEORGE AVENUE, CHESTER, VA 23836</v>
      </c>
      <c r="E39" s="129"/>
      <c r="F39" s="110"/>
      <c r="G39" s="130"/>
      <c r="H39" s="120" t="str">
        <f>'Official Team Roster'!H39</f>
        <v/>
      </c>
      <c r="I39" s="114"/>
      <c r="J39" s="122">
        <f>'Official Team Roster'!J39</f>
        <v>8049319833</v>
      </c>
      <c r="K39" s="114"/>
      <c r="L39" s="122">
        <f>'Official Team Roster'!L39</f>
        <v>52401</v>
      </c>
    </row>
    <row r="40" spans="1:13" s="4" customFormat="1" ht="12" x14ac:dyDescent="0.2">
      <c r="A40" s="13" t="s">
        <v>11</v>
      </c>
      <c r="B40" s="13"/>
      <c r="C40" s="3"/>
      <c r="D40" s="13" t="s">
        <v>5</v>
      </c>
      <c r="E40" s="3"/>
      <c r="F40" s="3"/>
      <c r="G40" s="15"/>
      <c r="H40" s="15"/>
      <c r="I40" s="2"/>
      <c r="J40" s="15" t="s">
        <v>41</v>
      </c>
      <c r="K40" s="15"/>
      <c r="L40" s="15" t="s">
        <v>42</v>
      </c>
      <c r="M40" s="102"/>
    </row>
    <row r="41" spans="1:13" x14ac:dyDescent="0.2">
      <c r="A41" s="117"/>
      <c r="B41" s="128" t="str">
        <f>'Official Team Roster'!B41</f>
        <v>RICHARD LANE</v>
      </c>
      <c r="C41" s="110"/>
      <c r="D41" s="129" t="str">
        <f>'Official Team Roster'!D41</f>
        <v>439 FULCHER LANE, CHESTER, VA 23836</v>
      </c>
      <c r="E41" s="129"/>
      <c r="F41" s="110"/>
      <c r="G41" s="130"/>
      <c r="H41" s="120" t="str">
        <f>'Official Team Roster'!H41</f>
        <v/>
      </c>
      <c r="I41" s="114"/>
      <c r="J41" s="122">
        <f>'Official Team Roster'!J41</f>
        <v>8042523880</v>
      </c>
      <c r="K41" s="114"/>
      <c r="L41" s="122">
        <f>'Official Team Roster'!L41</f>
        <v>56808</v>
      </c>
    </row>
    <row r="42" spans="1:13" s="4" customFormat="1" ht="12" x14ac:dyDescent="0.2">
      <c r="A42" s="13" t="s">
        <v>12</v>
      </c>
      <c r="B42" s="13"/>
      <c r="C42" s="3"/>
      <c r="D42" s="13" t="s">
        <v>5</v>
      </c>
      <c r="E42" s="3"/>
      <c r="F42" s="3"/>
      <c r="G42" s="15"/>
      <c r="H42" s="15" t="s">
        <v>13</v>
      </c>
      <c r="I42" s="2"/>
      <c r="J42" s="15" t="s">
        <v>41</v>
      </c>
      <c r="K42" s="15"/>
      <c r="L42" s="15" t="s">
        <v>42</v>
      </c>
      <c r="M42" s="102"/>
    </row>
    <row r="43" spans="1:13" x14ac:dyDescent="0.2">
      <c r="A43" s="117"/>
      <c r="B43" s="128" t="str">
        <f>'Official Team Roster'!B43</f>
        <v>KEVIN TUCKER II</v>
      </c>
      <c r="C43" s="110"/>
      <c r="D43" s="129" t="str">
        <f>'Official Team Roster'!D43</f>
        <v>13001 RIVERS BEND ROAD, CHESTER, VA 23836</v>
      </c>
      <c r="E43" s="129"/>
      <c r="F43" s="110"/>
      <c r="G43" s="130"/>
      <c r="H43" s="120" t="str">
        <f>'Official Team Roster'!H43</f>
        <v/>
      </c>
      <c r="I43" s="114"/>
      <c r="J43" s="122">
        <f>'Official Team Roster'!J43</f>
        <v>8046911435</v>
      </c>
      <c r="K43" s="114"/>
      <c r="L43" s="122">
        <f>'Official Team Roster'!L43</f>
        <v>54826</v>
      </c>
    </row>
    <row r="44" spans="1:13" x14ac:dyDescent="0.2">
      <c r="A44" s="13" t="s">
        <v>12</v>
      </c>
      <c r="B44" s="13"/>
      <c r="C44" s="3"/>
      <c r="D44" s="13" t="s">
        <v>5</v>
      </c>
      <c r="E44" s="3"/>
      <c r="F44" s="3"/>
      <c r="G44" s="15"/>
      <c r="H44" s="15" t="s">
        <v>13</v>
      </c>
      <c r="I44" s="2"/>
      <c r="J44" s="15" t="s">
        <v>41</v>
      </c>
      <c r="K44" s="15"/>
      <c r="L44" s="15" t="s">
        <v>42</v>
      </c>
    </row>
    <row r="45" spans="1:13" x14ac:dyDescent="0.2">
      <c r="A45" s="117"/>
      <c r="B45" s="128" t="str">
        <f>'Official Team Roster'!B45</f>
        <v>BROCK PARKER</v>
      </c>
      <c r="C45" s="110"/>
      <c r="D45" s="129" t="str">
        <f>'Official Team Roster'!D45</f>
        <v>800 MAINSAIL LANE, CHESTER, VA 23836</v>
      </c>
      <c r="E45" s="129"/>
      <c r="F45" s="110"/>
      <c r="G45" s="130"/>
      <c r="H45" s="120" t="str">
        <f>'Official Team Roster'!H45</f>
        <v/>
      </c>
      <c r="I45" s="114"/>
      <c r="J45" s="122">
        <f>'Official Team Roster'!J45</f>
        <v>8049269739</v>
      </c>
      <c r="K45" s="114"/>
      <c r="L45" s="122">
        <f>'Official Team Roster'!L45</f>
        <v>58265</v>
      </c>
    </row>
    <row r="46" spans="1:13" x14ac:dyDescent="0.2">
      <c r="A46" s="13" t="s">
        <v>12</v>
      </c>
      <c r="B46" s="13"/>
      <c r="C46" s="3"/>
      <c r="D46" s="13" t="s">
        <v>5</v>
      </c>
      <c r="E46" s="3"/>
      <c r="F46" s="3"/>
      <c r="G46" s="2"/>
      <c r="H46" s="15"/>
      <c r="I46" s="2"/>
      <c r="J46" s="15" t="s">
        <v>41</v>
      </c>
      <c r="K46" s="15"/>
      <c r="L46" s="15" t="s">
        <v>42</v>
      </c>
    </row>
    <row r="47" spans="1:13" ht="13.5" thickBot="1" x14ac:dyDescent="0.25">
      <c r="A47" s="131"/>
      <c r="B47" s="132" t="str">
        <f>'Official Team Roster'!B47</f>
        <v/>
      </c>
      <c r="C47" s="134"/>
      <c r="D47" s="134" t="str">
        <f>'Official Team Roster'!D47</f>
        <v/>
      </c>
      <c r="E47" s="134"/>
      <c r="F47" s="134"/>
      <c r="G47" s="143"/>
      <c r="H47" s="144" t="str">
        <f>'Official Team Roster'!H47</f>
        <v/>
      </c>
      <c r="I47" s="135"/>
      <c r="J47" s="135" t="str">
        <f>'Official Team Roster'!J47</f>
        <v/>
      </c>
      <c r="K47" s="135"/>
      <c r="L47" s="135" t="str">
        <f>'Official Team Roster'!L47</f>
        <v/>
      </c>
    </row>
    <row r="48" spans="1:13" x14ac:dyDescent="0.2">
      <c r="A48" s="213" t="s">
        <v>37</v>
      </c>
      <c r="B48" s="214"/>
      <c r="C48" s="214"/>
      <c r="D48" s="214"/>
      <c r="E48" s="214"/>
      <c r="F48" s="214"/>
      <c r="G48" s="214"/>
      <c r="H48" s="214"/>
      <c r="I48" s="214"/>
      <c r="J48" s="214"/>
      <c r="K48" s="214"/>
      <c r="L48" s="215"/>
    </row>
    <row r="49" spans="1:16" ht="13.5" thickBot="1" x14ac:dyDescent="0.25">
      <c r="A49" s="210" t="s">
        <v>36</v>
      </c>
      <c r="B49" s="211"/>
      <c r="C49" s="211"/>
      <c r="D49" s="211"/>
      <c r="E49" s="211"/>
      <c r="F49" s="211"/>
      <c r="G49" s="211"/>
      <c r="H49" s="211"/>
      <c r="I49" s="211"/>
      <c r="J49" s="211"/>
      <c r="K49" s="211"/>
      <c r="L49" s="212"/>
    </row>
    <row r="50" spans="1:16" x14ac:dyDescent="0.2">
      <c r="A50" s="102" t="s">
        <v>14</v>
      </c>
      <c r="B50" s="4"/>
      <c r="C50" s="4"/>
      <c r="D50" s="102" t="s">
        <v>15</v>
      </c>
      <c r="E50" s="4"/>
      <c r="F50" s="5"/>
      <c r="G50" s="5"/>
      <c r="H50" s="16"/>
      <c r="I50" s="16" t="s">
        <v>16</v>
      </c>
      <c r="J50" s="5"/>
      <c r="K50" s="5"/>
      <c r="L50" s="4"/>
      <c r="M50" s="13"/>
      <c r="N50" s="3"/>
      <c r="P50" s="6"/>
    </row>
    <row r="51" spans="1:16" x14ac:dyDescent="0.2">
      <c r="A51" s="107" t="s">
        <v>23</v>
      </c>
      <c r="B51" s="128" t="str">
        <f>'Official Team Roster'!B51</f>
        <v>BARRETT VOROS</v>
      </c>
      <c r="C51" s="94"/>
      <c r="D51" s="129" t="str">
        <f>'Official Team Roster'!D51</f>
        <v>GATES</v>
      </c>
      <c r="E51" s="110"/>
      <c r="F51" s="114"/>
      <c r="G51" s="114"/>
      <c r="H51" s="114"/>
      <c r="I51" s="114" t="str">
        <f>'Official Team Roster'!I51</f>
        <v>CCLL</v>
      </c>
      <c r="J51" s="114"/>
      <c r="K51" s="114"/>
      <c r="L51" s="129"/>
      <c r="M51" s="13"/>
      <c r="N51" s="3"/>
      <c r="P51" s="6"/>
    </row>
    <row r="52" spans="1:16" x14ac:dyDescent="0.2">
      <c r="A52" s="137" t="s">
        <v>24</v>
      </c>
      <c r="B52" s="128" t="str">
        <f>'Official Team Roster'!B52</f>
        <v xml:space="preserve"> </v>
      </c>
      <c r="C52" s="94"/>
      <c r="D52" s="129" t="str">
        <f>'Official Team Roster'!D52</f>
        <v/>
      </c>
      <c r="E52" s="110"/>
      <c r="F52" s="114"/>
      <c r="G52" s="114"/>
      <c r="H52" s="114"/>
      <c r="I52" s="114" t="str">
        <f>'Official Team Roster'!I52</f>
        <v/>
      </c>
      <c r="J52" s="114"/>
      <c r="K52" s="114"/>
      <c r="L52" s="138"/>
      <c r="M52" s="13"/>
      <c r="N52" s="3"/>
      <c r="O52" s="6"/>
      <c r="P52" s="6"/>
    </row>
    <row r="53" spans="1:16" x14ac:dyDescent="0.2">
      <c r="A53" s="137" t="s">
        <v>25</v>
      </c>
      <c r="B53" s="128" t="str">
        <f>'Official Team Roster'!B53</f>
        <v xml:space="preserve"> </v>
      </c>
      <c r="C53" s="94"/>
      <c r="D53" s="129" t="str">
        <f>'Official Team Roster'!D53</f>
        <v/>
      </c>
      <c r="E53" s="110"/>
      <c r="F53" s="114"/>
      <c r="G53" s="114"/>
      <c r="H53" s="114"/>
      <c r="I53" s="114" t="str">
        <f>'Official Team Roster'!I53</f>
        <v/>
      </c>
      <c r="J53" s="114"/>
      <c r="K53" s="114"/>
      <c r="L53" s="138"/>
      <c r="M53" s="13"/>
      <c r="N53" s="3"/>
      <c r="O53" s="6"/>
      <c r="P53" s="6"/>
    </row>
    <row r="54" spans="1:16" x14ac:dyDescent="0.2">
      <c r="A54" s="137" t="s">
        <v>26</v>
      </c>
      <c r="B54" s="128" t="str">
        <f>'Official Team Roster'!B54</f>
        <v xml:space="preserve"> </v>
      </c>
      <c r="C54" s="94"/>
      <c r="D54" s="129" t="str">
        <f>'Official Team Roster'!D54</f>
        <v/>
      </c>
      <c r="E54" s="110"/>
      <c r="F54" s="114"/>
      <c r="G54" s="114"/>
      <c r="H54" s="114"/>
      <c r="I54" s="114" t="str">
        <f>'Official Team Roster'!I54</f>
        <v/>
      </c>
      <c r="J54" s="114"/>
      <c r="K54" s="114"/>
      <c r="L54" s="138"/>
      <c r="M54" s="13"/>
      <c r="N54" s="3"/>
      <c r="O54" s="6"/>
      <c r="P54" s="6"/>
    </row>
    <row r="55" spans="1:16" ht="12.75" customHeight="1" x14ac:dyDescent="0.2">
      <c r="A55" s="137" t="s">
        <v>27</v>
      </c>
      <c r="B55" s="128" t="str">
        <f>'Official Team Roster'!B55</f>
        <v xml:space="preserve"> </v>
      </c>
      <c r="C55" s="94"/>
      <c r="D55" s="129" t="str">
        <f>'Official Team Roster'!D55</f>
        <v/>
      </c>
      <c r="E55" s="110"/>
      <c r="F55" s="114"/>
      <c r="G55" s="114"/>
      <c r="H55" s="114"/>
      <c r="I55" s="114" t="str">
        <f>'Official Team Roster'!I55</f>
        <v/>
      </c>
      <c r="J55" s="114"/>
      <c r="K55" s="114"/>
      <c r="L55" s="138"/>
      <c r="M55" s="13"/>
      <c r="N55" s="3"/>
      <c r="O55" s="6"/>
      <c r="P55" s="6"/>
    </row>
    <row r="56" spans="1:16" x14ac:dyDescent="0.2">
      <c r="A56" s="102" t="s">
        <v>17</v>
      </c>
      <c r="B56" s="4"/>
      <c r="C56" s="4"/>
      <c r="D56" s="4"/>
      <c r="E56" s="92" t="s">
        <v>18</v>
      </c>
      <c r="F56" s="139"/>
      <c r="G56" s="96"/>
      <c r="H56" s="96"/>
      <c r="I56" s="96"/>
      <c r="J56" s="92" t="s">
        <v>19</v>
      </c>
      <c r="K56" s="139"/>
      <c r="L56" s="8"/>
      <c r="M56" s="15"/>
      <c r="N56" s="2"/>
      <c r="O56" s="6"/>
      <c r="P56" s="6"/>
    </row>
  </sheetData>
  <mergeCells count="3">
    <mergeCell ref="A49:L49"/>
    <mergeCell ref="H5:J5"/>
    <mergeCell ref="A48:L48"/>
  </mergeCells>
  <phoneticPr fontId="2" type="noConversion"/>
  <printOptions horizontalCentered="1"/>
  <pageMargins left="0.5" right="0.5" top="0.5" bottom="0.5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22</vt:i4>
      </vt:variant>
    </vt:vector>
  </HeadingPairs>
  <TitlesOfParts>
    <vt:vector size="26" baseType="lpstr">
      <vt:lpstr>ReadMe</vt:lpstr>
      <vt:lpstr>Data Entry</vt:lpstr>
      <vt:lpstr>Official Team Roster</vt:lpstr>
      <vt:lpstr>Game Roster</vt:lpstr>
      <vt:lpstr>Association</vt:lpstr>
      <vt:lpstr>BC</vt:lpstr>
      <vt:lpstr>BirthCert</vt:lpstr>
      <vt:lpstr>CONTROL</vt:lpstr>
      <vt:lpstr>Data_Entry</vt:lpstr>
      <vt:lpstr>Database</vt:lpstr>
      <vt:lpstr>Extract</vt:lpstr>
      <vt:lpstr>FA</vt:lpstr>
      <vt:lpstr>FNAME</vt:lpstr>
      <vt:lpstr>FNAME_Input</vt:lpstr>
      <vt:lpstr>Instruct_Bottom</vt:lpstr>
      <vt:lpstr>Instruct_Middle</vt:lpstr>
      <vt:lpstr>Instruct_Top</vt:lpstr>
      <vt:lpstr>Instructions</vt:lpstr>
      <vt:lpstr>League</vt:lpstr>
      <vt:lpstr>Mgr_Coach</vt:lpstr>
      <vt:lpstr>Player</vt:lpstr>
      <vt:lpstr>PrevAssoc</vt:lpstr>
      <vt:lpstr>'Game Roster'!Print_Area</vt:lpstr>
      <vt:lpstr>'Official Team Roster'!Print_Area</vt:lpstr>
      <vt:lpstr>RosterTemplateRev2003_01_Official_Team_Roster_List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</dc:creator>
  <cp:lastModifiedBy>Timothy Casten</cp:lastModifiedBy>
  <cp:lastPrinted>2025-03-18T15:47:39Z</cp:lastPrinted>
  <dcterms:created xsi:type="dcterms:W3CDTF">1999-04-04T04:40:13Z</dcterms:created>
  <dcterms:modified xsi:type="dcterms:W3CDTF">2025-03-18T15:47:45Z</dcterms:modified>
</cp:coreProperties>
</file>